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Backup\Desktop\Audit_Dashboard\"/>
    </mc:Choice>
  </mc:AlternateContent>
  <xr:revisionPtr revIDLastSave="0" documentId="13_ncr:1_{4916DE5A-1259-43C5-9075-16ADB9677C1C}" xr6:coauthVersionLast="47" xr6:coauthVersionMax="47" xr10:uidLastSave="{00000000-0000-0000-0000-000000000000}"/>
  <bookViews>
    <workbookView xWindow="-120" yWindow="-120" windowWidth="24240" windowHeight="13020" activeTab="1" xr2:uid="{95D693CA-5A62-43A3-BD53-BC679839A2E9}"/>
  </bookViews>
  <sheets>
    <sheet name="All (Office Wise)" sheetId="1" r:id="rId1"/>
    <sheet name="Total Summary" sheetId="8" r:id="rId2"/>
    <sheet name="Summary_Mymenshing" sheetId="2" r:id="rId3"/>
    <sheet name="Summary_Chittagong" sheetId="3" r:id="rId4"/>
    <sheet name="Summary_Comilla" sheetId="4" r:id="rId5"/>
    <sheet name="Summary_Sylhet" sheetId="5" r:id="rId6"/>
    <sheet name="Summary_FAPAD" sheetId="6" r:id="rId7"/>
    <sheet name="Summary_Dhaka" sheetId="7" r:id="rId8"/>
  </sheets>
  <definedNames>
    <definedName name="_xlnm._FilterDatabase" localSheetId="0" hidden="1">'All (Office Wise)'!$A$2:$H$149</definedName>
    <definedName name="_xlnm.Print_Area" localSheetId="3">Summary_Chittagong!$B$1:$H$1</definedName>
    <definedName name="_xlnm.Print_Area" localSheetId="5">Summary_Sylhet!$A$1:$I$22</definedName>
    <definedName name="_xlnm.Print_Titles" localSheetId="0">'All (Office Wise)'!$2:$2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4" i="8" l="1"/>
  <c r="C124" i="8"/>
  <c r="D124" i="8"/>
  <c r="E124" i="8"/>
  <c r="F124" i="8"/>
  <c r="G124" i="8"/>
  <c r="H124" i="8"/>
  <c r="I124" i="8"/>
  <c r="B125" i="8"/>
  <c r="C125" i="8"/>
  <c r="D125" i="8"/>
  <c r="E125" i="8"/>
  <c r="F125" i="8"/>
  <c r="G125" i="8"/>
  <c r="H125" i="8"/>
  <c r="I125" i="8"/>
  <c r="B126" i="8"/>
  <c r="C126" i="8"/>
  <c r="D126" i="8"/>
  <c r="E126" i="8"/>
  <c r="F126" i="8"/>
  <c r="G126" i="8"/>
  <c r="H126" i="8"/>
  <c r="I126" i="8"/>
  <c r="B127" i="8"/>
  <c r="C127" i="8"/>
  <c r="D127" i="8"/>
  <c r="E127" i="8"/>
  <c r="F127" i="8"/>
  <c r="G127" i="8"/>
  <c r="H127" i="8"/>
  <c r="I127" i="8"/>
  <c r="B128" i="8"/>
  <c r="C128" i="8"/>
  <c r="D128" i="8"/>
  <c r="E128" i="8"/>
  <c r="F128" i="8"/>
  <c r="G128" i="8"/>
  <c r="H128" i="8"/>
  <c r="I128" i="8"/>
  <c r="B129" i="8"/>
  <c r="C129" i="8"/>
  <c r="D129" i="8"/>
  <c r="E129" i="8"/>
  <c r="F129" i="8"/>
  <c r="G129" i="8"/>
  <c r="H129" i="8"/>
  <c r="I129" i="8"/>
  <c r="B130" i="8"/>
  <c r="C130" i="8"/>
  <c r="D130" i="8"/>
  <c r="E130" i="8"/>
  <c r="F130" i="8"/>
  <c r="G130" i="8"/>
  <c r="H130" i="8"/>
  <c r="I130" i="8"/>
  <c r="B131" i="8"/>
  <c r="C131" i="8"/>
  <c r="D131" i="8"/>
  <c r="E131" i="8"/>
  <c r="F131" i="8"/>
  <c r="G131" i="8"/>
  <c r="H131" i="8"/>
  <c r="I131" i="8"/>
  <c r="B132" i="8"/>
  <c r="C132" i="8"/>
  <c r="D132" i="8"/>
  <c r="E132" i="8"/>
  <c r="F132" i="8"/>
  <c r="G132" i="8"/>
  <c r="H132" i="8"/>
  <c r="I132" i="8"/>
  <c r="B133" i="8"/>
  <c r="C133" i="8"/>
  <c r="D133" i="8"/>
  <c r="E133" i="8"/>
  <c r="F133" i="8"/>
  <c r="G133" i="8"/>
  <c r="H133" i="8"/>
  <c r="I133" i="8"/>
  <c r="B134" i="8"/>
  <c r="C134" i="8"/>
  <c r="D134" i="8"/>
  <c r="E134" i="8"/>
  <c r="F134" i="8"/>
  <c r="G134" i="8"/>
  <c r="H134" i="8"/>
  <c r="I134" i="8"/>
  <c r="B135" i="8"/>
  <c r="C135" i="8"/>
  <c r="D135" i="8"/>
  <c r="E135" i="8"/>
  <c r="F135" i="8"/>
  <c r="G135" i="8"/>
  <c r="H135" i="8"/>
  <c r="I135" i="8"/>
  <c r="B136" i="8"/>
  <c r="C136" i="8"/>
  <c r="D136" i="8"/>
  <c r="E136" i="8"/>
  <c r="F136" i="8"/>
  <c r="G136" i="8"/>
  <c r="H136" i="8"/>
  <c r="I136" i="8"/>
  <c r="B137" i="8"/>
  <c r="C137" i="8"/>
  <c r="D137" i="8"/>
  <c r="E137" i="8"/>
  <c r="F137" i="8"/>
  <c r="G137" i="8"/>
  <c r="H137" i="8"/>
  <c r="I137" i="8"/>
  <c r="B138" i="8"/>
  <c r="C138" i="8"/>
  <c r="D138" i="8"/>
  <c r="E138" i="8"/>
  <c r="F138" i="8"/>
  <c r="G138" i="8"/>
  <c r="H138" i="8"/>
  <c r="I138" i="8"/>
  <c r="B139" i="8"/>
  <c r="C139" i="8"/>
  <c r="D139" i="8"/>
  <c r="E139" i="8"/>
  <c r="F139" i="8"/>
  <c r="G139" i="8"/>
  <c r="H139" i="8"/>
  <c r="I139" i="8"/>
  <c r="B140" i="8"/>
  <c r="C140" i="8"/>
  <c r="D140" i="8"/>
  <c r="E140" i="8"/>
  <c r="F140" i="8"/>
  <c r="G140" i="8"/>
  <c r="H140" i="8"/>
  <c r="I140" i="8"/>
  <c r="B141" i="8"/>
  <c r="C141" i="8"/>
  <c r="D141" i="8"/>
  <c r="E141" i="8"/>
  <c r="F141" i="8"/>
  <c r="G141" i="8"/>
  <c r="H141" i="8"/>
  <c r="I141" i="8"/>
  <c r="B142" i="8"/>
  <c r="C142" i="8"/>
  <c r="D142" i="8"/>
  <c r="E142" i="8"/>
  <c r="F142" i="8"/>
  <c r="G142" i="8"/>
  <c r="H142" i="8"/>
  <c r="I142" i="8"/>
  <c r="B143" i="8"/>
  <c r="C143" i="8"/>
  <c r="D143" i="8"/>
  <c r="E143" i="8"/>
  <c r="F143" i="8"/>
  <c r="G143" i="8"/>
  <c r="H143" i="8"/>
  <c r="I143" i="8"/>
  <c r="C123" i="8"/>
  <c r="D123" i="8"/>
  <c r="E123" i="8"/>
  <c r="F123" i="8"/>
  <c r="G123" i="8"/>
  <c r="H123" i="8"/>
  <c r="I123" i="8"/>
  <c r="B123" i="8"/>
  <c r="B99" i="8"/>
  <c r="C99" i="8"/>
  <c r="D99" i="8"/>
  <c r="E99" i="8"/>
  <c r="F99" i="8"/>
  <c r="G99" i="8"/>
  <c r="H99" i="8"/>
  <c r="I99" i="8"/>
  <c r="B100" i="8"/>
  <c r="C100" i="8"/>
  <c r="D100" i="8"/>
  <c r="E100" i="8"/>
  <c r="F100" i="8"/>
  <c r="G100" i="8"/>
  <c r="H100" i="8"/>
  <c r="I100" i="8"/>
  <c r="B101" i="8"/>
  <c r="C101" i="8"/>
  <c r="D101" i="8"/>
  <c r="E101" i="8"/>
  <c r="F101" i="8"/>
  <c r="G101" i="8"/>
  <c r="H101" i="8"/>
  <c r="I101" i="8"/>
  <c r="B102" i="8"/>
  <c r="C102" i="8"/>
  <c r="D102" i="8"/>
  <c r="E102" i="8"/>
  <c r="F102" i="8"/>
  <c r="G102" i="8"/>
  <c r="H102" i="8"/>
  <c r="I102" i="8"/>
  <c r="B103" i="8"/>
  <c r="C103" i="8"/>
  <c r="D103" i="8"/>
  <c r="E103" i="8"/>
  <c r="F103" i="8"/>
  <c r="G103" i="8"/>
  <c r="H103" i="8"/>
  <c r="I103" i="8"/>
  <c r="B104" i="8"/>
  <c r="C104" i="8"/>
  <c r="D104" i="8"/>
  <c r="E104" i="8"/>
  <c r="F104" i="8"/>
  <c r="G104" i="8"/>
  <c r="H104" i="8"/>
  <c r="I104" i="8"/>
  <c r="B105" i="8"/>
  <c r="C105" i="8"/>
  <c r="D105" i="8"/>
  <c r="E105" i="8"/>
  <c r="F105" i="8"/>
  <c r="G105" i="8"/>
  <c r="H105" i="8"/>
  <c r="I105" i="8"/>
  <c r="B106" i="8"/>
  <c r="C106" i="8"/>
  <c r="D106" i="8"/>
  <c r="E106" i="8"/>
  <c r="F106" i="8"/>
  <c r="G106" i="8"/>
  <c r="H106" i="8"/>
  <c r="I106" i="8"/>
  <c r="B107" i="8"/>
  <c r="C107" i="8"/>
  <c r="D107" i="8"/>
  <c r="E107" i="8"/>
  <c r="F107" i="8"/>
  <c r="G107" i="8"/>
  <c r="H107" i="8"/>
  <c r="I107" i="8"/>
  <c r="B108" i="8"/>
  <c r="C108" i="8"/>
  <c r="D108" i="8"/>
  <c r="E108" i="8"/>
  <c r="F108" i="8"/>
  <c r="G108" i="8"/>
  <c r="H108" i="8"/>
  <c r="I108" i="8"/>
  <c r="B109" i="8"/>
  <c r="C109" i="8"/>
  <c r="D109" i="8"/>
  <c r="E109" i="8"/>
  <c r="F109" i="8"/>
  <c r="G109" i="8"/>
  <c r="H109" i="8"/>
  <c r="I109" i="8"/>
  <c r="B110" i="8"/>
  <c r="C110" i="8"/>
  <c r="D110" i="8"/>
  <c r="E110" i="8"/>
  <c r="F110" i="8"/>
  <c r="G110" i="8"/>
  <c r="H110" i="8"/>
  <c r="I110" i="8"/>
  <c r="B111" i="8"/>
  <c r="C111" i="8"/>
  <c r="D111" i="8"/>
  <c r="E111" i="8"/>
  <c r="F111" i="8"/>
  <c r="G111" i="8"/>
  <c r="H111" i="8"/>
  <c r="I111" i="8"/>
  <c r="B112" i="8"/>
  <c r="C112" i="8"/>
  <c r="D112" i="8"/>
  <c r="E112" i="8"/>
  <c r="F112" i="8"/>
  <c r="G112" i="8"/>
  <c r="H112" i="8"/>
  <c r="I112" i="8"/>
  <c r="B113" i="8"/>
  <c r="C113" i="8"/>
  <c r="D113" i="8"/>
  <c r="E113" i="8"/>
  <c r="F113" i="8"/>
  <c r="G113" i="8"/>
  <c r="H113" i="8"/>
  <c r="I113" i="8"/>
  <c r="B114" i="8"/>
  <c r="C114" i="8"/>
  <c r="D114" i="8"/>
  <c r="E114" i="8"/>
  <c r="F114" i="8"/>
  <c r="G114" i="8"/>
  <c r="H114" i="8"/>
  <c r="I114" i="8"/>
  <c r="B115" i="8"/>
  <c r="C115" i="8"/>
  <c r="D115" i="8"/>
  <c r="E115" i="8"/>
  <c r="F115" i="8"/>
  <c r="G115" i="8"/>
  <c r="H115" i="8"/>
  <c r="I115" i="8"/>
  <c r="B116" i="8"/>
  <c r="C116" i="8"/>
  <c r="D116" i="8"/>
  <c r="E116" i="8"/>
  <c r="F116" i="8"/>
  <c r="G116" i="8"/>
  <c r="H116" i="8"/>
  <c r="I116" i="8"/>
  <c r="B117" i="8"/>
  <c r="C117" i="8"/>
  <c r="D117" i="8"/>
  <c r="E117" i="8"/>
  <c r="F117" i="8"/>
  <c r="G117" i="8"/>
  <c r="H117" i="8"/>
  <c r="I117" i="8"/>
  <c r="B118" i="8"/>
  <c r="C118" i="8"/>
  <c r="D118" i="8"/>
  <c r="E118" i="8"/>
  <c r="F118" i="8"/>
  <c r="G118" i="8"/>
  <c r="H118" i="8"/>
  <c r="I118" i="8"/>
  <c r="B119" i="8"/>
  <c r="C119" i="8"/>
  <c r="D119" i="8"/>
  <c r="E119" i="8"/>
  <c r="F119" i="8"/>
  <c r="G119" i="8"/>
  <c r="H119" i="8"/>
  <c r="I119" i="8"/>
  <c r="B120" i="8"/>
  <c r="C120" i="8"/>
  <c r="D120" i="8"/>
  <c r="E120" i="8"/>
  <c r="F120" i="8"/>
  <c r="G120" i="8"/>
  <c r="H120" i="8"/>
  <c r="I120" i="8"/>
  <c r="B121" i="8"/>
  <c r="C121" i="8"/>
  <c r="D121" i="8"/>
  <c r="E121" i="8"/>
  <c r="F121" i="8"/>
  <c r="G121" i="8"/>
  <c r="H121" i="8"/>
  <c r="I121" i="8"/>
  <c r="B122" i="8"/>
  <c r="C122" i="8"/>
  <c r="D122" i="8"/>
  <c r="E122" i="8"/>
  <c r="F122" i="8"/>
  <c r="G122" i="8"/>
  <c r="H122" i="8"/>
  <c r="I122" i="8"/>
  <c r="C98" i="8"/>
  <c r="D98" i="8"/>
  <c r="E98" i="8"/>
  <c r="F98" i="8"/>
  <c r="G98" i="8"/>
  <c r="H98" i="8"/>
  <c r="I98" i="8"/>
  <c r="B98" i="8"/>
  <c r="B82" i="8"/>
  <c r="C82" i="8"/>
  <c r="D82" i="8"/>
  <c r="E82" i="8"/>
  <c r="F82" i="8"/>
  <c r="G82" i="8"/>
  <c r="H82" i="8"/>
  <c r="I82" i="8"/>
  <c r="B83" i="8"/>
  <c r="C83" i="8"/>
  <c r="D83" i="8"/>
  <c r="E83" i="8"/>
  <c r="F83" i="8"/>
  <c r="G83" i="8"/>
  <c r="H83" i="8"/>
  <c r="I83" i="8"/>
  <c r="B84" i="8"/>
  <c r="C84" i="8"/>
  <c r="D84" i="8"/>
  <c r="E84" i="8"/>
  <c r="F84" i="8"/>
  <c r="G84" i="8"/>
  <c r="H84" i="8"/>
  <c r="I84" i="8"/>
  <c r="B85" i="8"/>
  <c r="C85" i="8"/>
  <c r="D85" i="8"/>
  <c r="E85" i="8"/>
  <c r="F85" i="8"/>
  <c r="G85" i="8"/>
  <c r="H85" i="8"/>
  <c r="I85" i="8"/>
  <c r="B86" i="8"/>
  <c r="C86" i="8"/>
  <c r="D86" i="8"/>
  <c r="E86" i="8"/>
  <c r="F86" i="8"/>
  <c r="G86" i="8"/>
  <c r="H86" i="8"/>
  <c r="I86" i="8"/>
  <c r="B87" i="8"/>
  <c r="C87" i="8"/>
  <c r="D87" i="8"/>
  <c r="E87" i="8"/>
  <c r="F87" i="8"/>
  <c r="G87" i="8"/>
  <c r="H87" i="8"/>
  <c r="I87" i="8"/>
  <c r="B88" i="8"/>
  <c r="C88" i="8"/>
  <c r="D88" i="8"/>
  <c r="E88" i="8"/>
  <c r="F88" i="8"/>
  <c r="G88" i="8"/>
  <c r="H88" i="8"/>
  <c r="I88" i="8"/>
  <c r="B89" i="8"/>
  <c r="C89" i="8"/>
  <c r="D89" i="8"/>
  <c r="E89" i="8"/>
  <c r="F89" i="8"/>
  <c r="G89" i="8"/>
  <c r="H89" i="8"/>
  <c r="I89" i="8"/>
  <c r="B90" i="8"/>
  <c r="C90" i="8"/>
  <c r="D90" i="8"/>
  <c r="E90" i="8"/>
  <c r="F90" i="8"/>
  <c r="G90" i="8"/>
  <c r="H90" i="8"/>
  <c r="I90" i="8"/>
  <c r="B91" i="8"/>
  <c r="C91" i="8"/>
  <c r="D91" i="8"/>
  <c r="E91" i="8"/>
  <c r="F91" i="8"/>
  <c r="G91" i="8"/>
  <c r="H91" i="8"/>
  <c r="I91" i="8"/>
  <c r="B92" i="8"/>
  <c r="C92" i="8"/>
  <c r="D92" i="8"/>
  <c r="E92" i="8"/>
  <c r="F92" i="8"/>
  <c r="G92" i="8"/>
  <c r="H92" i="8"/>
  <c r="I92" i="8"/>
  <c r="B93" i="8"/>
  <c r="C93" i="8"/>
  <c r="D93" i="8"/>
  <c r="E93" i="8"/>
  <c r="F93" i="8"/>
  <c r="G93" i="8"/>
  <c r="H93" i="8"/>
  <c r="I93" i="8"/>
  <c r="B94" i="8"/>
  <c r="C94" i="8"/>
  <c r="D94" i="8"/>
  <c r="E94" i="8"/>
  <c r="F94" i="8"/>
  <c r="G94" i="8"/>
  <c r="H94" i="8"/>
  <c r="I94" i="8"/>
  <c r="B95" i="8"/>
  <c r="C95" i="8"/>
  <c r="D95" i="8"/>
  <c r="E95" i="8"/>
  <c r="F95" i="8"/>
  <c r="G95" i="8"/>
  <c r="H95" i="8"/>
  <c r="I95" i="8"/>
  <c r="B96" i="8"/>
  <c r="C96" i="8"/>
  <c r="D96" i="8"/>
  <c r="E96" i="8"/>
  <c r="F96" i="8"/>
  <c r="G96" i="8"/>
  <c r="H96" i="8"/>
  <c r="I96" i="8"/>
  <c r="B97" i="8"/>
  <c r="C97" i="8"/>
  <c r="D97" i="8"/>
  <c r="E97" i="8"/>
  <c r="F97" i="8"/>
  <c r="G97" i="8"/>
  <c r="H97" i="8"/>
  <c r="I97" i="8"/>
  <c r="C81" i="8"/>
  <c r="D81" i="8"/>
  <c r="E81" i="8"/>
  <c r="F81" i="8"/>
  <c r="G81" i="8"/>
  <c r="H81" i="8"/>
  <c r="I81" i="8"/>
  <c r="B81" i="8"/>
  <c r="B68" i="8"/>
  <c r="C68" i="8"/>
  <c r="D68" i="8"/>
  <c r="E68" i="8"/>
  <c r="F68" i="8"/>
  <c r="G68" i="8"/>
  <c r="H68" i="8"/>
  <c r="I68" i="8"/>
  <c r="B69" i="8"/>
  <c r="C69" i="8"/>
  <c r="D69" i="8"/>
  <c r="E69" i="8"/>
  <c r="F69" i="8"/>
  <c r="G69" i="8"/>
  <c r="H69" i="8"/>
  <c r="I69" i="8"/>
  <c r="B70" i="8"/>
  <c r="C70" i="8"/>
  <c r="D70" i="8"/>
  <c r="E70" i="8"/>
  <c r="F70" i="8"/>
  <c r="G70" i="8"/>
  <c r="H70" i="8"/>
  <c r="I70" i="8"/>
  <c r="B71" i="8"/>
  <c r="C71" i="8"/>
  <c r="D71" i="8"/>
  <c r="E71" i="8"/>
  <c r="F71" i="8"/>
  <c r="G71" i="8"/>
  <c r="H71" i="8"/>
  <c r="I71" i="8"/>
  <c r="B72" i="8"/>
  <c r="C72" i="8"/>
  <c r="D72" i="8"/>
  <c r="E72" i="8"/>
  <c r="F72" i="8"/>
  <c r="G72" i="8"/>
  <c r="H72" i="8"/>
  <c r="I72" i="8"/>
  <c r="B73" i="8"/>
  <c r="C73" i="8"/>
  <c r="D73" i="8"/>
  <c r="E73" i="8"/>
  <c r="F73" i="8"/>
  <c r="G73" i="8"/>
  <c r="H73" i="8"/>
  <c r="I73" i="8"/>
  <c r="B74" i="8"/>
  <c r="C74" i="8"/>
  <c r="D74" i="8"/>
  <c r="E74" i="8"/>
  <c r="F74" i="8"/>
  <c r="G74" i="8"/>
  <c r="H74" i="8"/>
  <c r="I74" i="8"/>
  <c r="B75" i="8"/>
  <c r="C75" i="8"/>
  <c r="D75" i="8"/>
  <c r="E75" i="8"/>
  <c r="F75" i="8"/>
  <c r="G75" i="8"/>
  <c r="H75" i="8"/>
  <c r="I75" i="8"/>
  <c r="B76" i="8"/>
  <c r="C76" i="8"/>
  <c r="D76" i="8"/>
  <c r="E76" i="8"/>
  <c r="F76" i="8"/>
  <c r="G76" i="8"/>
  <c r="H76" i="8"/>
  <c r="I76" i="8"/>
  <c r="B77" i="8"/>
  <c r="C77" i="8"/>
  <c r="D77" i="8"/>
  <c r="E77" i="8"/>
  <c r="F77" i="8"/>
  <c r="G77" i="8"/>
  <c r="H77" i="8"/>
  <c r="I77" i="8"/>
  <c r="B78" i="8"/>
  <c r="C78" i="8"/>
  <c r="D78" i="8"/>
  <c r="E78" i="8"/>
  <c r="F78" i="8"/>
  <c r="G78" i="8"/>
  <c r="H78" i="8"/>
  <c r="I78" i="8"/>
  <c r="B79" i="8"/>
  <c r="C79" i="8"/>
  <c r="D79" i="8"/>
  <c r="E79" i="8"/>
  <c r="F79" i="8"/>
  <c r="G79" i="8"/>
  <c r="H79" i="8"/>
  <c r="I79" i="8"/>
  <c r="B80" i="8"/>
  <c r="C80" i="8"/>
  <c r="D80" i="8"/>
  <c r="E80" i="8"/>
  <c r="F80" i="8"/>
  <c r="G80" i="8"/>
  <c r="H80" i="8"/>
  <c r="I80" i="8"/>
  <c r="C67" i="8"/>
  <c r="D67" i="8"/>
  <c r="E67" i="8"/>
  <c r="F67" i="8"/>
  <c r="G67" i="8"/>
  <c r="H67" i="8"/>
  <c r="I67" i="8"/>
  <c r="B67" i="8"/>
  <c r="B66" i="8"/>
  <c r="C66" i="8"/>
  <c r="D66" i="8"/>
  <c r="E66" i="8"/>
  <c r="F66" i="8"/>
  <c r="G66" i="8"/>
  <c r="H66" i="8"/>
  <c r="I66" i="8"/>
  <c r="I65" i="8"/>
  <c r="B55" i="8"/>
  <c r="C55" i="8"/>
  <c r="D55" i="8"/>
  <c r="E55" i="8"/>
  <c r="F55" i="8"/>
  <c r="G55" i="8"/>
  <c r="H55" i="8"/>
  <c r="I55" i="8"/>
  <c r="B56" i="8"/>
  <c r="C56" i="8"/>
  <c r="D56" i="8"/>
  <c r="E56" i="8"/>
  <c r="F56" i="8"/>
  <c r="G56" i="8"/>
  <c r="H56" i="8"/>
  <c r="I56" i="8"/>
  <c r="B57" i="8"/>
  <c r="C57" i="8"/>
  <c r="D57" i="8"/>
  <c r="E57" i="8"/>
  <c r="F57" i="8"/>
  <c r="G57" i="8"/>
  <c r="H57" i="8"/>
  <c r="I57" i="8"/>
  <c r="B58" i="8"/>
  <c r="C58" i="8"/>
  <c r="D58" i="8"/>
  <c r="E58" i="8"/>
  <c r="F58" i="8"/>
  <c r="G58" i="8"/>
  <c r="H58" i="8"/>
  <c r="I58" i="8"/>
  <c r="B59" i="8"/>
  <c r="C59" i="8"/>
  <c r="D59" i="8"/>
  <c r="E59" i="8"/>
  <c r="F59" i="8"/>
  <c r="G59" i="8"/>
  <c r="H59" i="8"/>
  <c r="I59" i="8"/>
  <c r="B60" i="8"/>
  <c r="C60" i="8"/>
  <c r="D60" i="8"/>
  <c r="E60" i="8"/>
  <c r="F60" i="8"/>
  <c r="G60" i="8"/>
  <c r="H60" i="8"/>
  <c r="I60" i="8"/>
  <c r="B61" i="8"/>
  <c r="C61" i="8"/>
  <c r="D61" i="8"/>
  <c r="E61" i="8"/>
  <c r="F61" i="8"/>
  <c r="G61" i="8"/>
  <c r="H61" i="8"/>
  <c r="I61" i="8"/>
  <c r="B62" i="8"/>
  <c r="C62" i="8"/>
  <c r="D62" i="8"/>
  <c r="E62" i="8"/>
  <c r="F62" i="8"/>
  <c r="G62" i="8"/>
  <c r="H62" i="8"/>
  <c r="I62" i="8"/>
  <c r="B63" i="8"/>
  <c r="C63" i="8"/>
  <c r="D63" i="8"/>
  <c r="E63" i="8"/>
  <c r="F63" i="8"/>
  <c r="G63" i="8"/>
  <c r="H63" i="8"/>
  <c r="I63" i="8"/>
  <c r="B64" i="8"/>
  <c r="C64" i="8"/>
  <c r="D64" i="8"/>
  <c r="E64" i="8"/>
  <c r="F64" i="8"/>
  <c r="G64" i="8"/>
  <c r="H64" i="8"/>
  <c r="I64" i="8"/>
  <c r="B65" i="8"/>
  <c r="C65" i="8"/>
  <c r="D65" i="8"/>
  <c r="E65" i="8"/>
  <c r="F65" i="8"/>
  <c r="G65" i="8"/>
  <c r="H65" i="8"/>
  <c r="B30" i="8"/>
  <c r="C30" i="8"/>
  <c r="D30" i="8"/>
  <c r="E30" i="8"/>
  <c r="F30" i="8"/>
  <c r="G30" i="8"/>
  <c r="H30" i="8"/>
  <c r="I30" i="8"/>
  <c r="B31" i="8"/>
  <c r="C31" i="8"/>
  <c r="D31" i="8"/>
  <c r="E31" i="8"/>
  <c r="F31" i="8"/>
  <c r="G31" i="8"/>
  <c r="H31" i="8"/>
  <c r="I31" i="8"/>
  <c r="B32" i="8"/>
  <c r="C32" i="8"/>
  <c r="D32" i="8"/>
  <c r="E32" i="8"/>
  <c r="F32" i="8"/>
  <c r="G32" i="8"/>
  <c r="H32" i="8"/>
  <c r="I32" i="8"/>
  <c r="B33" i="8"/>
  <c r="C33" i="8"/>
  <c r="D33" i="8"/>
  <c r="E33" i="8"/>
  <c r="F33" i="8"/>
  <c r="G33" i="8"/>
  <c r="H33" i="8"/>
  <c r="I33" i="8"/>
  <c r="B34" i="8"/>
  <c r="C34" i="8"/>
  <c r="D34" i="8"/>
  <c r="E34" i="8"/>
  <c r="F34" i="8"/>
  <c r="G34" i="8"/>
  <c r="H34" i="8"/>
  <c r="I34" i="8"/>
  <c r="B35" i="8"/>
  <c r="C35" i="8"/>
  <c r="D35" i="8"/>
  <c r="E35" i="8"/>
  <c r="F35" i="8"/>
  <c r="G35" i="8"/>
  <c r="H35" i="8"/>
  <c r="I35" i="8"/>
  <c r="B36" i="8"/>
  <c r="C36" i="8"/>
  <c r="D36" i="8"/>
  <c r="E36" i="8"/>
  <c r="F36" i="8"/>
  <c r="G36" i="8"/>
  <c r="H36" i="8"/>
  <c r="I36" i="8"/>
  <c r="B37" i="8"/>
  <c r="C37" i="8"/>
  <c r="D37" i="8"/>
  <c r="E37" i="8"/>
  <c r="F37" i="8"/>
  <c r="G37" i="8"/>
  <c r="H37" i="8"/>
  <c r="I37" i="8"/>
  <c r="B38" i="8"/>
  <c r="C38" i="8"/>
  <c r="D38" i="8"/>
  <c r="E38" i="8"/>
  <c r="F38" i="8"/>
  <c r="G38" i="8"/>
  <c r="H38" i="8"/>
  <c r="I38" i="8"/>
  <c r="B39" i="8"/>
  <c r="C39" i="8"/>
  <c r="D39" i="8"/>
  <c r="E39" i="8"/>
  <c r="F39" i="8"/>
  <c r="G39" i="8"/>
  <c r="H39" i="8"/>
  <c r="I39" i="8"/>
  <c r="B40" i="8"/>
  <c r="C40" i="8"/>
  <c r="D40" i="8"/>
  <c r="E40" i="8"/>
  <c r="F40" i="8"/>
  <c r="G40" i="8"/>
  <c r="H40" i="8"/>
  <c r="I40" i="8"/>
  <c r="B41" i="8"/>
  <c r="C41" i="8"/>
  <c r="D41" i="8"/>
  <c r="E41" i="8"/>
  <c r="F41" i="8"/>
  <c r="G41" i="8"/>
  <c r="H41" i="8"/>
  <c r="I41" i="8"/>
  <c r="B42" i="8"/>
  <c r="C42" i="8"/>
  <c r="D42" i="8"/>
  <c r="E42" i="8"/>
  <c r="F42" i="8"/>
  <c r="G42" i="8"/>
  <c r="H42" i="8"/>
  <c r="I42" i="8"/>
  <c r="B43" i="8"/>
  <c r="C43" i="8"/>
  <c r="D43" i="8"/>
  <c r="E43" i="8"/>
  <c r="F43" i="8"/>
  <c r="G43" i="8"/>
  <c r="H43" i="8"/>
  <c r="I43" i="8"/>
  <c r="B44" i="8"/>
  <c r="C44" i="8"/>
  <c r="D44" i="8"/>
  <c r="E44" i="8"/>
  <c r="F44" i="8"/>
  <c r="G44" i="8"/>
  <c r="H44" i="8"/>
  <c r="I44" i="8"/>
  <c r="B45" i="8"/>
  <c r="C45" i="8"/>
  <c r="D45" i="8"/>
  <c r="E45" i="8"/>
  <c r="F45" i="8"/>
  <c r="G45" i="8"/>
  <c r="H45" i="8"/>
  <c r="I45" i="8"/>
  <c r="B46" i="8"/>
  <c r="C46" i="8"/>
  <c r="D46" i="8"/>
  <c r="E46" i="8"/>
  <c r="F46" i="8"/>
  <c r="G46" i="8"/>
  <c r="H46" i="8"/>
  <c r="I46" i="8"/>
  <c r="B47" i="8"/>
  <c r="C47" i="8"/>
  <c r="D47" i="8"/>
  <c r="E47" i="8"/>
  <c r="F47" i="8"/>
  <c r="G47" i="8"/>
  <c r="H47" i="8"/>
  <c r="I47" i="8"/>
  <c r="B48" i="8"/>
  <c r="C48" i="8"/>
  <c r="D48" i="8"/>
  <c r="E48" i="8"/>
  <c r="F48" i="8"/>
  <c r="G48" i="8"/>
  <c r="H48" i="8"/>
  <c r="I48" i="8"/>
  <c r="B49" i="8"/>
  <c r="C49" i="8"/>
  <c r="D49" i="8"/>
  <c r="E49" i="8"/>
  <c r="F49" i="8"/>
  <c r="G49" i="8"/>
  <c r="H49" i="8"/>
  <c r="I49" i="8"/>
  <c r="B50" i="8"/>
  <c r="C50" i="8"/>
  <c r="D50" i="8"/>
  <c r="E50" i="8"/>
  <c r="F50" i="8"/>
  <c r="G50" i="8"/>
  <c r="H50" i="8"/>
  <c r="I50" i="8"/>
  <c r="B51" i="8"/>
  <c r="C51" i="8"/>
  <c r="D51" i="8"/>
  <c r="E51" i="8"/>
  <c r="F51" i="8"/>
  <c r="G51" i="8"/>
  <c r="H51" i="8"/>
  <c r="I51" i="8"/>
  <c r="B52" i="8"/>
  <c r="C52" i="8"/>
  <c r="D52" i="8"/>
  <c r="E52" i="8"/>
  <c r="F52" i="8"/>
  <c r="G52" i="8"/>
  <c r="H52" i="8"/>
  <c r="I52" i="8"/>
  <c r="B53" i="8"/>
  <c r="C53" i="8"/>
  <c r="D53" i="8"/>
  <c r="E53" i="8"/>
  <c r="F53" i="8"/>
  <c r="G53" i="8"/>
  <c r="H53" i="8"/>
  <c r="I53" i="8"/>
  <c r="B54" i="8"/>
  <c r="C54" i="8"/>
  <c r="D54" i="8"/>
  <c r="E54" i="8"/>
  <c r="F54" i="8"/>
  <c r="G54" i="8"/>
  <c r="H54" i="8"/>
  <c r="I54" i="8"/>
  <c r="C29" i="8"/>
  <c r="D29" i="8"/>
  <c r="E29" i="8"/>
  <c r="F29" i="8"/>
  <c r="G29" i="8"/>
  <c r="H29" i="8"/>
  <c r="I29" i="8"/>
  <c r="B29" i="8"/>
  <c r="B6" i="8"/>
  <c r="D6" i="8"/>
  <c r="E6" i="8"/>
  <c r="F6" i="8"/>
  <c r="G6" i="8"/>
  <c r="H6" i="8"/>
  <c r="I6" i="8"/>
  <c r="B7" i="8"/>
  <c r="C7" i="8"/>
  <c r="D7" i="8"/>
  <c r="E7" i="8"/>
  <c r="F7" i="8"/>
  <c r="G7" i="8"/>
  <c r="H7" i="8"/>
  <c r="I7" i="8"/>
  <c r="B8" i="8"/>
  <c r="C8" i="8"/>
  <c r="D8" i="8"/>
  <c r="E8" i="8"/>
  <c r="F8" i="8"/>
  <c r="G8" i="8"/>
  <c r="H8" i="8"/>
  <c r="I8" i="8"/>
  <c r="B9" i="8"/>
  <c r="C9" i="8"/>
  <c r="D9" i="8"/>
  <c r="E9" i="8"/>
  <c r="F9" i="8"/>
  <c r="G9" i="8"/>
  <c r="H9" i="8"/>
  <c r="I9" i="8"/>
  <c r="B10" i="8"/>
  <c r="C10" i="8"/>
  <c r="D10" i="8"/>
  <c r="E10" i="8"/>
  <c r="F10" i="8"/>
  <c r="G10" i="8"/>
  <c r="H10" i="8"/>
  <c r="I10" i="8"/>
  <c r="B11" i="8"/>
  <c r="C11" i="8"/>
  <c r="D11" i="8"/>
  <c r="E11" i="8"/>
  <c r="F11" i="8"/>
  <c r="G11" i="8"/>
  <c r="H11" i="8"/>
  <c r="I11" i="8"/>
  <c r="B12" i="8"/>
  <c r="C12" i="8"/>
  <c r="D12" i="8"/>
  <c r="E12" i="8"/>
  <c r="F12" i="8"/>
  <c r="G12" i="8"/>
  <c r="H12" i="8"/>
  <c r="I12" i="8"/>
  <c r="B13" i="8"/>
  <c r="C13" i="8"/>
  <c r="D13" i="8"/>
  <c r="E13" i="8"/>
  <c r="F13" i="8"/>
  <c r="G13" i="8"/>
  <c r="H13" i="8"/>
  <c r="I13" i="8"/>
  <c r="B14" i="8"/>
  <c r="C14" i="8"/>
  <c r="D14" i="8"/>
  <c r="E14" i="8"/>
  <c r="F14" i="8"/>
  <c r="G14" i="8"/>
  <c r="H14" i="8"/>
  <c r="I14" i="8"/>
  <c r="B15" i="8"/>
  <c r="C15" i="8"/>
  <c r="D15" i="8"/>
  <c r="E15" i="8"/>
  <c r="F15" i="8"/>
  <c r="G15" i="8"/>
  <c r="H15" i="8"/>
  <c r="I15" i="8"/>
  <c r="B16" i="8"/>
  <c r="C16" i="8"/>
  <c r="D16" i="8"/>
  <c r="E16" i="8"/>
  <c r="F16" i="8"/>
  <c r="G16" i="8"/>
  <c r="H16" i="8"/>
  <c r="I16" i="8"/>
  <c r="B17" i="8"/>
  <c r="C17" i="8"/>
  <c r="D17" i="8"/>
  <c r="E17" i="8"/>
  <c r="F17" i="8"/>
  <c r="G17" i="8"/>
  <c r="H17" i="8"/>
  <c r="I17" i="8"/>
  <c r="B18" i="8"/>
  <c r="C18" i="8"/>
  <c r="D18" i="8"/>
  <c r="E18" i="8"/>
  <c r="F18" i="8"/>
  <c r="G18" i="8"/>
  <c r="H18" i="8"/>
  <c r="I18" i="8"/>
  <c r="B19" i="8"/>
  <c r="C19" i="8"/>
  <c r="D19" i="8"/>
  <c r="E19" i="8"/>
  <c r="F19" i="8"/>
  <c r="G19" i="8"/>
  <c r="H19" i="8"/>
  <c r="I19" i="8"/>
  <c r="B20" i="8"/>
  <c r="C20" i="8"/>
  <c r="D20" i="8"/>
  <c r="E20" i="8"/>
  <c r="F20" i="8"/>
  <c r="G20" i="8"/>
  <c r="H20" i="8"/>
  <c r="I20" i="8"/>
  <c r="B21" i="8"/>
  <c r="C21" i="8"/>
  <c r="D21" i="8"/>
  <c r="E21" i="8"/>
  <c r="F21" i="8"/>
  <c r="G21" i="8"/>
  <c r="H21" i="8"/>
  <c r="I21" i="8"/>
  <c r="B22" i="8"/>
  <c r="C22" i="8"/>
  <c r="D22" i="8"/>
  <c r="E22" i="8"/>
  <c r="F22" i="8"/>
  <c r="G22" i="8"/>
  <c r="H22" i="8"/>
  <c r="I22" i="8"/>
  <c r="B23" i="8"/>
  <c r="C23" i="8"/>
  <c r="D23" i="8"/>
  <c r="E23" i="8"/>
  <c r="F23" i="8"/>
  <c r="G23" i="8"/>
  <c r="H23" i="8"/>
  <c r="I23" i="8"/>
  <c r="B24" i="8"/>
  <c r="C24" i="8"/>
  <c r="D24" i="8"/>
  <c r="E24" i="8"/>
  <c r="F24" i="8"/>
  <c r="G24" i="8"/>
  <c r="H24" i="8"/>
  <c r="I24" i="8"/>
  <c r="B25" i="8"/>
  <c r="C25" i="8"/>
  <c r="D25" i="8"/>
  <c r="E25" i="8"/>
  <c r="F25" i="8"/>
  <c r="G25" i="8"/>
  <c r="H25" i="8"/>
  <c r="I25" i="8"/>
  <c r="B26" i="8"/>
  <c r="C26" i="8"/>
  <c r="D26" i="8"/>
  <c r="E26" i="8"/>
  <c r="F26" i="8"/>
  <c r="G26" i="8"/>
  <c r="H26" i="8"/>
  <c r="I26" i="8"/>
  <c r="B27" i="8"/>
  <c r="C27" i="8"/>
  <c r="D27" i="8"/>
  <c r="E27" i="8"/>
  <c r="F27" i="8"/>
  <c r="G27" i="8"/>
  <c r="H27" i="8"/>
  <c r="I27" i="8"/>
  <c r="B28" i="8"/>
  <c r="C28" i="8"/>
  <c r="D28" i="8"/>
  <c r="E28" i="8"/>
  <c r="F28" i="8"/>
  <c r="G28" i="8"/>
  <c r="H28" i="8"/>
  <c r="I28" i="8"/>
  <c r="B4" i="8"/>
  <c r="C4" i="8"/>
  <c r="D4" i="8"/>
  <c r="E4" i="8"/>
  <c r="F4" i="8"/>
  <c r="G4" i="8"/>
  <c r="H4" i="8"/>
  <c r="I4" i="8"/>
  <c r="B5" i="8"/>
  <c r="E5" i="8"/>
  <c r="F5" i="8"/>
  <c r="G5" i="8"/>
  <c r="H5" i="8"/>
  <c r="I5" i="8"/>
  <c r="C3" i="8"/>
  <c r="D3" i="8"/>
  <c r="E3" i="8"/>
  <c r="F3" i="8"/>
  <c r="G3" i="8"/>
  <c r="H3" i="8"/>
  <c r="I3" i="8"/>
  <c r="B3" i="8"/>
  <c r="F1530" i="1"/>
  <c r="H25" i="7"/>
  <c r="G25" i="7"/>
  <c r="F25" i="7"/>
  <c r="D25" i="7"/>
  <c r="C25" i="7"/>
  <c r="I23" i="7"/>
  <c r="E23" i="7"/>
  <c r="I22" i="7"/>
  <c r="E22" i="7"/>
  <c r="I21" i="7"/>
  <c r="E21" i="7"/>
  <c r="I20" i="7"/>
  <c r="E20" i="7"/>
  <c r="I19" i="7"/>
  <c r="E19" i="7"/>
  <c r="I18" i="7"/>
  <c r="E18" i="7"/>
  <c r="I17" i="7"/>
  <c r="E17" i="7"/>
  <c r="I16" i="7"/>
  <c r="E16" i="7"/>
  <c r="I15" i="7"/>
  <c r="E15" i="7"/>
  <c r="I14" i="7"/>
  <c r="E14" i="7"/>
  <c r="I13" i="7"/>
  <c r="E13" i="7"/>
  <c r="I12" i="7"/>
  <c r="E12" i="7"/>
  <c r="I11" i="7"/>
  <c r="E11" i="7"/>
  <c r="I10" i="7"/>
  <c r="E10" i="7"/>
  <c r="I9" i="7"/>
  <c r="E9" i="7"/>
  <c r="I8" i="7"/>
  <c r="E8" i="7"/>
  <c r="I7" i="7"/>
  <c r="E7" i="7"/>
  <c r="I6" i="7"/>
  <c r="E6" i="7"/>
  <c r="I5" i="7"/>
  <c r="E5" i="7"/>
  <c r="I4" i="7"/>
  <c r="E4" i="7"/>
  <c r="H31" i="6"/>
  <c r="G31" i="6"/>
  <c r="F31" i="6"/>
  <c r="E30" i="6"/>
  <c r="E27" i="6"/>
  <c r="E26" i="6"/>
  <c r="D25" i="6"/>
  <c r="E25" i="6" s="1"/>
  <c r="E24" i="6"/>
  <c r="E23" i="6"/>
  <c r="E22" i="6"/>
  <c r="E21" i="6"/>
  <c r="E20" i="6"/>
  <c r="E19" i="6"/>
  <c r="E18" i="6"/>
  <c r="E17" i="6"/>
  <c r="C16" i="6"/>
  <c r="C31" i="6" s="1"/>
  <c r="E15" i="6"/>
  <c r="E14" i="6"/>
  <c r="E13" i="6"/>
  <c r="E12" i="6"/>
  <c r="E11" i="6"/>
  <c r="E10" i="6"/>
  <c r="D9" i="6"/>
  <c r="D31" i="6" s="1"/>
  <c r="E8" i="6"/>
  <c r="E6" i="6"/>
  <c r="I144" i="8" l="1"/>
  <c r="H144" i="8"/>
  <c r="G144" i="8"/>
  <c r="E144" i="8"/>
  <c r="F144" i="8"/>
  <c r="I25" i="7"/>
  <c r="E25" i="7"/>
  <c r="E31" i="6"/>
  <c r="E16" i="6"/>
  <c r="E9" i="6"/>
  <c r="H22" i="5" l="1"/>
  <c r="G22" i="5"/>
  <c r="F22" i="5"/>
  <c r="D22" i="5"/>
  <c r="C22" i="5"/>
  <c r="I21" i="5"/>
  <c r="E21" i="5"/>
  <c r="I20" i="5"/>
  <c r="E20" i="5"/>
  <c r="I19" i="5"/>
  <c r="E19" i="5"/>
  <c r="I18" i="5"/>
  <c r="E18" i="5"/>
  <c r="I17" i="5"/>
  <c r="E17" i="5"/>
  <c r="I16" i="5"/>
  <c r="E16" i="5"/>
  <c r="I15" i="5"/>
  <c r="E15" i="5"/>
  <c r="I14" i="5"/>
  <c r="E14" i="5"/>
  <c r="I13" i="5"/>
  <c r="E13" i="5"/>
  <c r="I12" i="5"/>
  <c r="E12" i="5"/>
  <c r="I11" i="5"/>
  <c r="E11" i="5"/>
  <c r="I10" i="5"/>
  <c r="E10" i="5"/>
  <c r="I9" i="5"/>
  <c r="E9" i="5"/>
  <c r="I8" i="5"/>
  <c r="E8" i="5"/>
  <c r="I7" i="5"/>
  <c r="E7" i="5"/>
  <c r="I6" i="5"/>
  <c r="E6" i="5"/>
  <c r="I5" i="5"/>
  <c r="E5" i="5"/>
  <c r="E22" i="5" l="1"/>
  <c r="I22" i="5"/>
  <c r="H20" i="4"/>
  <c r="G20" i="4"/>
  <c r="I20" i="4" s="1"/>
  <c r="F20" i="4"/>
  <c r="D20" i="4"/>
  <c r="C20" i="4"/>
  <c r="E20" i="4" s="1"/>
  <c r="I19" i="4"/>
  <c r="E19" i="4"/>
  <c r="I18" i="4"/>
  <c r="E18" i="4"/>
  <c r="I17" i="4"/>
  <c r="E17" i="4"/>
  <c r="I16" i="4"/>
  <c r="E16" i="4"/>
  <c r="I15" i="4"/>
  <c r="E15" i="4"/>
  <c r="I14" i="4"/>
  <c r="E14" i="4"/>
  <c r="I13" i="4"/>
  <c r="E13" i="4"/>
  <c r="I12" i="4"/>
  <c r="E12" i="4"/>
  <c r="I11" i="4"/>
  <c r="E11" i="4"/>
  <c r="I10" i="4"/>
  <c r="E10" i="4"/>
  <c r="I8" i="4"/>
  <c r="E8" i="4"/>
  <c r="I7" i="4"/>
  <c r="E7" i="4"/>
  <c r="I6" i="4"/>
  <c r="E6" i="4"/>
  <c r="H47" i="3"/>
  <c r="I47" i="3" s="1"/>
  <c r="D47" i="3"/>
  <c r="C47" i="3"/>
  <c r="E47" i="3" s="1"/>
  <c r="I46" i="3"/>
  <c r="E46" i="3"/>
  <c r="I45" i="3"/>
  <c r="E45" i="3"/>
  <c r="I44" i="3"/>
  <c r="E44" i="3"/>
  <c r="I43" i="3"/>
  <c r="E43" i="3"/>
  <c r="I42" i="3"/>
  <c r="E42" i="3"/>
  <c r="I41" i="3"/>
  <c r="E41" i="3"/>
  <c r="I40" i="3"/>
  <c r="E40" i="3"/>
  <c r="I39" i="3"/>
  <c r="E39" i="3"/>
  <c r="I38" i="3"/>
  <c r="E38" i="3"/>
  <c r="I37" i="3"/>
  <c r="E37" i="3"/>
  <c r="I36" i="3"/>
  <c r="E36" i="3"/>
  <c r="I35" i="3"/>
  <c r="E35" i="3"/>
  <c r="I34" i="3"/>
  <c r="E34" i="3"/>
  <c r="I33" i="3"/>
  <c r="E33" i="3"/>
  <c r="I32" i="3"/>
  <c r="E32" i="3"/>
  <c r="I31" i="3"/>
  <c r="E31" i="3"/>
  <c r="I30" i="3"/>
  <c r="E30" i="3"/>
  <c r="I29" i="3"/>
  <c r="E29" i="3"/>
  <c r="I28" i="3"/>
  <c r="E28" i="3"/>
  <c r="I27" i="3"/>
  <c r="E27" i="3"/>
  <c r="I26" i="3"/>
  <c r="E26" i="3"/>
  <c r="I25" i="3"/>
  <c r="E25" i="3"/>
  <c r="I24" i="3"/>
  <c r="E24" i="3"/>
  <c r="I23" i="3"/>
  <c r="E23" i="3"/>
  <c r="I22" i="3"/>
  <c r="E22" i="3"/>
  <c r="I21" i="3"/>
  <c r="E21" i="3"/>
  <c r="I20" i="3"/>
  <c r="E20" i="3"/>
  <c r="I19" i="3"/>
  <c r="E19" i="3"/>
  <c r="I18" i="3"/>
  <c r="E18" i="3"/>
  <c r="I17" i="3"/>
  <c r="E17" i="3"/>
  <c r="I16" i="3"/>
  <c r="E16" i="3"/>
  <c r="I15" i="3"/>
  <c r="E15" i="3"/>
  <c r="I14" i="3"/>
  <c r="E14" i="3"/>
  <c r="I13" i="3"/>
  <c r="E13" i="3"/>
  <c r="I12" i="3"/>
  <c r="E12" i="3"/>
  <c r="I11" i="3"/>
  <c r="E11" i="3"/>
  <c r="I10" i="3"/>
  <c r="E10" i="3"/>
  <c r="I9" i="3"/>
  <c r="E9" i="3"/>
  <c r="I29" i="2" l="1"/>
  <c r="H29" i="2"/>
  <c r="G29" i="2"/>
  <c r="F29" i="2"/>
  <c r="E29" i="2"/>
  <c r="C6" i="2"/>
  <c r="C6" i="8" s="1"/>
  <c r="D5" i="2"/>
  <c r="C5" i="2"/>
  <c r="C5" i="8" s="1"/>
  <c r="C144" i="8" s="1"/>
  <c r="D29" i="2" l="1"/>
  <c r="D5" i="8"/>
  <c r="D144" i="8" s="1"/>
  <c r="C29" i="2"/>
</calcChain>
</file>

<file path=xl/sharedStrings.xml><?xml version="1.0" encoding="utf-8"?>
<sst xmlns="http://schemas.openxmlformats.org/spreadsheetml/2006/main" count="9978" uniqueCount="3062">
  <si>
    <t>ক্রমিক নং</t>
  </si>
  <si>
    <t>দপ্তরের নাম</t>
  </si>
  <si>
    <t>নিরীক্ষা বছর</t>
  </si>
  <si>
    <t>অনু নং</t>
  </si>
  <si>
    <t>আপত্তির শিরোনাম</t>
  </si>
  <si>
    <t>জড়িত টাকার পরিমান</t>
  </si>
  <si>
    <t>আপত্তির ধরণ</t>
  </si>
  <si>
    <t>ক্যাটাগরী</t>
  </si>
  <si>
    <t>আঞ্চলিক পূর্ত নির্মাণ বিভাগ, বিউবো, ময়মনসিংহ</t>
  </si>
  <si>
    <t>২০২১-২০২২</t>
  </si>
  <si>
    <t>একই ধরনের কাজকে একাধিক প্যাকেজে বিভক্ত করে এলটিম এর মাধ্যমে  সম্পাদন করে  অনিয়মিতভাবে ২,৬৭,১৪,০২০/- টাকার কার্যসম্পাদন</t>
  </si>
  <si>
    <t>এসএফআই</t>
  </si>
  <si>
    <t>আর্থিক বিধি অনুসরণ না করা</t>
  </si>
  <si>
    <t>২০২২-২০২৩</t>
  </si>
  <si>
    <t xml:space="preserve">অর্থ বিভাগের ব্যয় সংকোচনের নির্দেশনা লঙ্ঘন কওে নির্ধারিত ব্যয়সীমার অতিরিক্ত ব্যয় </t>
  </si>
  <si>
    <t xml:space="preserve">এসএফআই </t>
  </si>
  <si>
    <t>২০২৩ - ২০২৪</t>
  </si>
  <si>
    <t>দরপত্র প্রণয়নে এসটিডি’র নির্ধারিত হার অপেক্ষা অতিরিক্ত হারে বার্ষিক টার্ণওভার নির্ধারণ করে চুক্তি সম্পাদনের মাধ্যমে অনিয়মিত ব্যয় ৪,৪৬,৯০,০১১ টাকা।</t>
  </si>
  <si>
    <t>৪,৪৬,৯০,০১১/-</t>
  </si>
  <si>
    <t>টেন্ডার ও ক্রয়</t>
  </si>
  <si>
    <t>উর্ধতন কর্তৃপক্ষের অনুমোদনের বাধ্যবাধকতা এড়ানোর উদ্দেশ্যে একই ধরণের কাজকে একাধিক খন্ডে বিভাক্ত চুক্তি সম্পাদনে ১৬,৫৭,৮৯৪/- টাকা অনিয়মিত ব্যয়।</t>
  </si>
  <si>
    <t>১৬,৫৭,৮৯৪/-</t>
  </si>
  <si>
    <t>দাপ্তরিক প্রাক্কলিত মূল্যের চেয়ে অধিক নিম্নদরে দাখিলকৃত দরদাতার সাথে চুক্তিসম্পাদন করায় ফলে অনিয়মিত ব্যয় ৮,৩৬,৮২৫ (আট লক্ষ ছত্রিশ হাজার আটশত পঁচিশ) টাকা।</t>
  </si>
  <si>
    <t>৮,৩৬,৮২৫/-</t>
  </si>
  <si>
    <t>দরপত্রের শর্তানুসারে যথাযথ অভিজ্ঞতার সনদ না থাকা সত্ত্বেও নন-রেসপনসিভযোগ্য দরদাতাকে রেসপনসিভ করে চুক্তি সম্পাদনে অনিয়মিত ব্যয় ২৩,২০,২০৮ (তেইশ লক্ষ বিশ হাজার দুইশত আট) টাকা।</t>
  </si>
  <si>
    <t>২৩,২০,২০৮/-</t>
  </si>
  <si>
    <t>আবাসিক প্রকৌশলী, ঈশ্বরগঞ্জ বিদ্যুৎ সরবরাহ, বিউবো, ময়মনসিংহ</t>
  </si>
  <si>
    <t>১৯৯০-১৯৯৪</t>
  </si>
  <si>
    <t>মৃত হিসাবধারী গ্রাহকের নিকট ৬,৩৫,৬৮৯/- টাকা ।</t>
  </si>
  <si>
    <t>বিদ্যুৎ বিল বকেয়া</t>
  </si>
  <si>
    <t>আবাসিক প্রকৌশলী, গৌরীপুর বিদ্যুৎ সরবরাহ, বিউবেো, ময়মনসিংহ</t>
  </si>
  <si>
    <t>১৯৯৬-২০০০</t>
  </si>
  <si>
    <t>ডেড একাউন্টের ৬৭ জন গ্রাহকের নিকট হইতে অনাদায়ী ৩,৭৭,৭২৬/- টাকার বিষয়ে বাস্তব ব্যবস্থা গ্রহণ করা প্রয়োজন।</t>
  </si>
  <si>
    <t>প্রকল্প পরিচালক, বিদ্যুৎ বিতরণ ব্যবস্থা উন্নয়ন প্রকল্প, ময়মনসিংহ</t>
  </si>
  <si>
    <t>২০১৯-২০২০</t>
  </si>
  <si>
    <t xml:space="preserve"> প্রকল্পের যানবাহন ক্রয়কাজে পিপিআর ২০০৮ এ বিধি লংঘন করে অফিসিয়াল  কস্ট ইস্টিমেট প্রস্তত ছাড়াই এবং অর্থ মন্ত্রণালয়ের নির্ধরিত মূল্য ও ডিপিপির বরাদ্দ হতে হারে অনিয়মিতভাবে দরপত্র আহব্বানপূর্বক১,৯৫,৯৮,০০৪/- টাকা অর্থ পরিশোধ ।</t>
  </si>
  <si>
    <t>ডিপিপির নির্দেশনা লংঘন করে  পুর্ত নির্মন কাজে বাজেট বরাদ্দ ছাড়াই একক কাজকে দুইটি ভাগে বিভক্ত করে  বিশেষায়িত প্রকৃতির কাজ না হওয়া সত্তে¡ও সমিত দরপত্র পদ্ধতিতে সমদরে ও একই দিনে পছন্দের একমাত্র ঠিকাদারকে ২৭,৮৫,৫০২/- টাকা পরিশোধ ।</t>
  </si>
  <si>
    <t>২০২০-২০২১</t>
  </si>
  <si>
    <t>2(2)</t>
  </si>
  <si>
    <t xml:space="preserve">অর্থ মন্ত্রণালয়ের আদেশের ব্যত্রয় করে ভুমি অধিগ্রহনে জমির মূল্যের সাথে 2 থেকে 7.5% পর্যন্ত ব্যয় পরিশোধ </t>
  </si>
  <si>
    <t>ডিপিবির ক্রয় পক্রিয়া অনুযায়ী ক্রয়কার্য সম্পাদন না করে  ডিপিবির প্যাকেজের লট কমিয়ে ক্রয়কায় সম্পাদন করে  অতিরিক্ত ব্যয় ১৭৭,৫৫৮,১৫০/-</t>
  </si>
  <si>
    <t>24(1)</t>
  </si>
  <si>
    <t>কর্মকর্তাগনকে ভ্রমনভাতা বিল পরিশোধের ক্ষেত্রে বিধি বহির্ভূত দৈনিকভাতা প্রদান</t>
  </si>
  <si>
    <t>নন-এসএফআই</t>
  </si>
  <si>
    <t>বেতন-ভাতা সংক্রান্ত</t>
  </si>
  <si>
    <t>30(1)</t>
  </si>
  <si>
    <t>প্রাপ্যের অতিরিক্ত গাঢ়িতে জ্বালানী তেল ব্যবহার করায় ক্ষতি</t>
  </si>
  <si>
    <t>বিবিধ</t>
  </si>
  <si>
    <t>অনিয়মিতভাবে মূল বেতনের অতিরিক্ত অধিকালভাতা প্রদাণ করায় প্রতিষ্ঠানের আর্থিক  ক্ষতি ৪৮৩০৫৪/-</t>
  </si>
  <si>
    <t>অধিকাল ভাতা</t>
  </si>
  <si>
    <t>অর্থ মন্ত্রনালয়ের আদেশের ব্যতয় করে  ভ‚মি অধিগ্রহনের জমির মূল্যের  সাথে৭.৫% এবং ২% হারে আনুষাঙ্গিক ব্যয পরিশোধ করায় সংস্থার আর্থিক ক্ষতি ৩৮১৮৩৭১/- টাকা ।</t>
  </si>
  <si>
    <t>ঠিকাদার কর্তৃক বিভিন্ন চুক্তির  বিপরীতে বীমা না করায়  বীমা প্রিমিয়ামের উপর ভ্যাট বাবদ  সরকারের রাজস্ব ক্ষতি ৫২৫৭৬২</t>
  </si>
  <si>
    <t>ভ্যাট ও আয়কর (সরকারি)</t>
  </si>
  <si>
    <t>দরপত্রের বৈধতার মেয়াদ  অতিক্রান্ত হওয়ার পর সরবরাহকারীর সাথে অবৈধভাবে চুক্তি সম্পাদন</t>
  </si>
  <si>
    <t xml:space="preserve">প্রতিযোগীতা না হওয়া সত্তেও দরপত্র বাতিল না কওে দাপ্তরিক প্রাক্কলিত মূল্যোর উর্ধ্ধদওে ঠিকাদার/ সরবরাহকারীর সাথে চুক্তি সম্পাদন করায় আর্থিক ক্ষতি </t>
  </si>
  <si>
    <t xml:space="preserve">দাপ্তরিক প্রাক্কলিত মূল্য পুনঃ পরীক্ষা এবং  কম মূল্য উদ্ধৃত করার কারণ অনুসন্ধান না কওে অস্বাভাবিক নি¤œদওে কার্যাদেশ প্রান করায় অনিয়মিত ব্যয় </t>
  </si>
  <si>
    <t>নিম্ন দরের দরদাতা কারিগরিভাবে রেসপনসিভ হওয়া সত্ত্বেও  উর্ধ্বদরের দরদাতার সহিত অনিয়মিতভাবে চুক্তি সম্পাদনের মাধ্যমে অতিরিক্ত ব্যায় ।</t>
  </si>
  <si>
    <t xml:space="preserve">নির্ধারিত সময়ে কার্য সম্পাদনে ব্যর্থ ঠিকাদারের নিকট হতে  আরোপযোগ্য বিলম্ব জরিমানা আদায় না করায় পতিষ্ঠানের আর্থিক ক্ষতি </t>
  </si>
  <si>
    <t>দাপ্তরিক প্রাক্কলিত মূল্যের চেয়ে অস্বাভাবিক ঊর্ধ্বদরে দাখিলকৃত দরদাতার সাথে অনিয়মিতভাবে ৮৪৭০০০০০ (আট কোটি সাতচল্লিশ লক্ষ) টাকার কার্য সম্পাদন।</t>
  </si>
  <si>
    <t>৮,৪৭,০০,০০০/-</t>
  </si>
  <si>
    <t>পণ্য ও সংশ্লিষ্ট সেবাকে পূর্ত কাজ দেখিয়ে চুক্তি সম্পাদন করায় ৮৯,৯৮,০৩৭ (উননব্বই লক্ষ আটানব্বই হাজার সাইত্রিশ) টাকার অনিয়মিত ব্যয় ।</t>
  </si>
  <si>
    <t>৮৯,৯৮,০৩৭/-</t>
  </si>
  <si>
    <t>পিপিআর মোতাবেক নির্ধারিত সময়ে চুক্তি সম্পাদনে ব্যর্থতা সত্বেও দরপত্র জামানত বাজেয়াপ্ত না করে অনিয়মিতভাবে ৫৪,০৫,৫৬,৯২৩ (চুয়ান্ন কোটি পাঁচ লক্ষ ছাপান্ন হাজার নয়শত তেইশ) টাকার চুক্তি সম্পাদন।</t>
  </si>
  <si>
    <t>৫৪,০৫,৫৬,৯২৩/-</t>
  </si>
  <si>
    <t>বিক্রয় ও বিতরণ বিভাগ -ত্রিশাল, বিউবো, ময়মনসিংহ</t>
  </si>
  <si>
    <t>বিভিন্ন শ্রেনীর গ্রাহকের নিকট হতে বকেয় বিদ্যুৎ বিল আদায় না করায় প্রতিষ্ঠানের আর্থিক ক্ষতি৩৫৭৫২৯২/- টাকা</t>
  </si>
  <si>
    <t xml:space="preserve">বিক্রয় ও বিতরণ বিভাগ -ভালুকা, বিউবো, ময়মনসিংহ 
</t>
  </si>
  <si>
    <t>প্রাকযোগ্যতা যথাযথভাবে যাচাই ব্যতিরেকে ঠিকাদারকে কার্যাদেশ প্রদানে প্রতিষ্ঠানের অনিয়মিত ব্যয়  ১১,৯৬,৯৬৫/--টাকা</t>
  </si>
  <si>
    <t>বিক্রয় ও বিতরণ বিভাগ, কিশোরগঞ্জ</t>
  </si>
  <si>
    <t>২০১০-২০১১</t>
  </si>
  <si>
    <t>বেসরকারি ব্যক্তি প্রতিষ্ঠানের নিকট হতে উর্দ্ধতন কর্তৃপক্ষের নির্ধারিত টার্গেট মোতাবেক বকেয়া আদায়ে ব্যর্থতায় ক্ষতি</t>
  </si>
  <si>
    <t xml:space="preserve">মন্ত্রণালয়ের নির্দেশ উপেক্ষা কওে সোলার প্যানেল স্থাপন না করা সত্তে¡ও অনিযমিতভাবে এইচটি/এসটি শ্রেণির গ্রাহকের সংযোগ প্রদান </t>
  </si>
  <si>
    <t>বিক্রয় ও বিতরণ বিভাগ, ঘাটাইল, বিউবো, টাঙ্গাইল</t>
  </si>
  <si>
    <t>কোটেশন দাখিরকারী দরদাতা যোগ্যতার প্রমাণস্বরুপ দলিলাদি দাখিল না করা সত্তেও অনিয়মিতবাবে কোটেশন মূল্যায়নপূর্বক চুক্তি সম্পাদন</t>
  </si>
  <si>
    <t>বিক্রয় ও বিতরণ বিভাগ, বিউবো, নেত্রকোনা</t>
  </si>
  <si>
    <t>১৯৯১-১৯৯৪</t>
  </si>
  <si>
    <t>বৈদ্যুতিক মালামাল চুরি জড়িত টাকা ২,৬৫,৩০৪/- টাকা ।</t>
  </si>
  <si>
    <t>চুরি</t>
  </si>
  <si>
    <t>২০০৭-২০০৯</t>
  </si>
  <si>
    <t>সংযোগ বিচ্ছিন্নকৃত গ্রাহকের নিকট বকেয়া অনাদায়ী জড়িত টাকা ১৯,৮২,৭৪/-</t>
  </si>
  <si>
    <t>২০১৩-২০১৫</t>
  </si>
  <si>
    <t>আর্থিক ক্ষমতা বর্হিভূত যানবাহন মেরামত  জড়িত  টাকা ৯৪১৭২/-</t>
  </si>
  <si>
    <t>বিভিন্ন শ্রেনীর গ্রাহকের নিকট হতে  দীর্ঘদিনের বকেয়া বিদ্যুৎ বিলের  অর্থ আদায় করা হয়নি । যা জরুরী ভিত্তিতে ৪৭,৩৪,৭২১/- টাকা আদায়যোগ্য ।</t>
  </si>
  <si>
    <t xml:space="preserve">বিক্রয় ও বিতরণ বিভাগ, বিউবো, ফুলপুর, ময়মনসিংহ </t>
  </si>
  <si>
    <t>১৯৯৬-১৯৯৯</t>
  </si>
  <si>
    <t>১৯৯৬-১৯৯৯ অর্থ বছরে সমূহে রাজস্ব বকেয়া বাবদ ৮১,১২,০৩৪/- টাকা অনাদায়ী ।</t>
  </si>
  <si>
    <t>সিস্টেম লস জড়িত টাকা ৭০,৭৭,০৮৪/- টাকা ।</t>
  </si>
  <si>
    <t>সিস্টেম লস</t>
  </si>
  <si>
    <t xml:space="preserve">বিক্রয় ও বিতরণ বিভাগ, বিউবো, সখিপুর, টাঙ্গাইল </t>
  </si>
  <si>
    <t>২০১৭-২০১৮</t>
  </si>
  <si>
    <t>কর্মচারীদের অতিরিক্ত অধিকাল ভাতা প্রদান। জড়িত টাকা ২৫,৬৬,১৯১/-</t>
  </si>
  <si>
    <t>বিক্রয় ও বিতরণ বিভাগ, ভৈরব, কিশোরগঞ্জ</t>
  </si>
  <si>
    <t>বিভিন্ন শ্রেণীর গ্রাহকের নিকট হতে বকেয়া বিদ্যুৎ বিল আদায় না  করায়  প্রতিষ্ঠানের আর্থিক ক্ষতি</t>
  </si>
  <si>
    <t>কার্যসমাপ্তির তারিখ  নির্দিষ্ট না কওে  কার্যাদেশ প্রদান কওে অনিয়মিত ব্যয়</t>
  </si>
  <si>
    <t xml:space="preserve">জরুরি বা বিশেষায়িত কাজ না হওয়া সত্তে¡ও উন্মক্ত দরপত্র পদ্ধতির পরিবর্তে সীমিত দরপত্র পদ্ধতি প্রয়োগের মাধ্যমে অনিয়মিতভাবে কার্যসম্পাদন </t>
  </si>
  <si>
    <t>বিদ্যুতের সরবরাহ  পয়েন্টে মাসিক গড় পাওয়ার ফেক্টও (পিএফ) এর  পরিমাণ নির্ধারিত সীমার (০.৭৫%) নীচে নেমে গেলেও গ্রাহকের সংযোগ বিচ্ছিন্ন না করায় বিধি ও পদ্ধিতিগত অনিয়ম হয়েছে ।</t>
  </si>
  <si>
    <t xml:space="preserve">বিক্রয় ও বিতরণ বিভাগ, সরিষাবাড়ী, বিউবো, জামালপুর </t>
  </si>
  <si>
    <t>প্রি-পেইড মিটার সংযোগের পূর্বে আদায়কৃত নিরাপত্তা জামানত ফেরৎ প্রদান না করায়  গ্রাহকের ক্ষতি</t>
  </si>
  <si>
    <t>মন্ত্রণালয়ের নির্দেশনা লঙ্ঘন কওে এক অর্থ বছরের পরিচালন ব্যয় অন্য অর্থ বছওে ক্রেডিট ওভার কওে অনিয়মিতভাবে পরিশোধ</t>
  </si>
  <si>
    <t>জনপ্রশাসন মন্ত্রণালযের নির্দেশনা লঙ্ঘন কওে সরকারি গাড়ি ব্যবহার ফি কম কর্তন করায় সরকারের আর্থিক ক্ষতি</t>
  </si>
  <si>
    <t>আরএফকিউ পদ্ধতিতে বাৎসরিক সীমার অতিরিক্ত অনিয়মিত ব্যয়</t>
  </si>
  <si>
    <t>বিক্রয় ও বিতরণ বিভাগ-২ (দক্ষিণ), বিউবো, ময়মনসিংহ</t>
  </si>
  <si>
    <t>২০০৫-২০০৬</t>
  </si>
  <si>
    <t>পৌরসভারস ১১৭ জন গ্রাহকের নিকট বকেয়া ৫,৭৮,১২,৮৪২/- টাকা ।</t>
  </si>
  <si>
    <t>২০০৬-২০০৭</t>
  </si>
  <si>
    <t>নির্ধারিত সময়ের মধ্যে  বিল পরিশোধ না করার জন্য ট্যারিফ বিধি অনুযায়ী আদায়যোগ্য সারচার্জ বাবদ ২,৫৮,৩০,৫১৩/- টাকা  আদায়যোগ্য যা আদায়করা হয়নি ।</t>
  </si>
  <si>
    <t>আরইবি এর নিকট বিক্রয়কৃত ইউনিটের বিল দাবী না করায় বোর্ডের ২১,৪৪,৭৭২/- টাকা ক্ষতি ।</t>
  </si>
  <si>
    <t>ময়মনসিংহ পৌরসভার নিকট বকেয়া বিদ্যুৎ বিল অনাদায়ী।  ৬২ জন ডিফল্টার গ্রাহকের বকেয়া ।</t>
  </si>
  <si>
    <t>সংযোগ বিচ্ছিন্ন গ্রাহকের নিকট হতে দীর্ঘদিন যাবৎ বকেয়া অদায় না করায়  প্রতিষ্ঠানের আর্থিক ক্ষতি ১৪,২৪,১৭৭/- টাকা</t>
  </si>
  <si>
    <t>গ্রাহকের বিপরীতে বিদ্যুৎ বিল বিলন্ব পরিশোধ মাশুল আদায় না করায় প্রতিষ্ঠনের ১৫৪৫২৭৬১/-টাকা</t>
  </si>
  <si>
    <t>বিক্রয় ও বিতরণ বিভাগ-২, বিউবো, টাঙ্গাইল</t>
  </si>
  <si>
    <t>২০০০-২০০১</t>
  </si>
  <si>
    <t>উদ্বৃত্ত  অর্থ সমার্পন না করিয়া ব্যাংকে জমা  ৩,৫১,২৯১/- টাকা ।</t>
  </si>
  <si>
    <t>অনিয়মিতভাবে ব্যাংকে জমা ৫,১৯,০৫৩/- টাকা ।</t>
  </si>
  <si>
    <t>২০০7-২০০8</t>
  </si>
  <si>
    <t>বরাদ্দ অপেক্ষা ১৯,০৯,৬৯২/- টাকা  অতিরিক্ত প্রাক্কলন অনুমোদন ও কার্যাদেশ প্রদাণ করায় সরকারের দায়দেনা সৃষ্টি ।</t>
  </si>
  <si>
    <t>কর্মচারীদেরকে অতিরিক্ত অধিকাল ভাতা  প্রদান করে বিউবোর আর্থিক ক্ষতি ৪৮৭৭১১৯/-</t>
  </si>
  <si>
    <t>এইচটি গ্রাহকের বিদ্যুতের সরবরাহ পয়েন্টে মাসিক গড় পাওয়ার ফেক্টর (পিএফ) এর পরিমাণ ০.৭৫ নীচে নেমে গেলেও গ্রাহকের সংযোগ বিচ্ছিন্ন করায় অনিয়ম।</t>
  </si>
  <si>
    <t>বিভিন্ন শ্রেণির গ্রাহকের নিকট হতে দীর্ঘদিন যাবৎ বকেয়া আদায় না করায় প্রতিষ্ঠানের আর্থিক ক্ষতি ৬৮,৪৮,৬০৮/- টাকা।</t>
  </si>
  <si>
    <t>৬৮,৪৮,৬০৮/-</t>
  </si>
  <si>
    <t>মন্ত্রণালয়ের নির্দেশনা উপেক্ষা করে সোলার প্যানেল স্থাপন না করা সত্ত্বেও অনিয়মিতভাবে এইচটি শ্রেণীর গ্রাহকের সংযোগ প্রদান।</t>
  </si>
  <si>
    <t>-</t>
  </si>
  <si>
    <t>বিক্রয় ও বিতরণ বিভাগ-৩, বিউবো, ময়মনসিংহ</t>
  </si>
  <si>
    <t>নিখোজ গ্রাহকের নিকট হতে বিদ্যুৎ বির বাবদ বকেয়া আদায় না করায় প্রতিষ্ঠানের আর্থিক ক্ষতি</t>
  </si>
  <si>
    <t>সংযোগ বিচ্ছিন্ন গ্রাহকের নিকট হতে বকেয়া আদায় না করায় প্রতিষ্ঠানের আর্থিক ক্ষতি</t>
  </si>
  <si>
    <t>বিক্রয় ও বিতরন বিভাগ ,বিউবো, জামালপুর</t>
  </si>
  <si>
    <t>২০০৩-২০০৫</t>
  </si>
  <si>
    <t>পল্লী বিদ্যুৎ সমিতিতে হস্তান্তরিত গ্রাহকদের বকেয়া দি্যুৎ বিল বাবদ ৮,১০,১৫,৮৮১/- টাকা আদায় করা হয়নি ।</t>
  </si>
  <si>
    <t>সাধারণ ভবিষ্য তহবিল বিধিমালা লঙ্গন করে জিপিএফ হতে উত্তোলিত অগ্রিম বাবদ ৪,৫০,০০০ (চার লক্ষ পঞ্চাশ হাজার) টাকা জামা না করায় অনিয়ম।</t>
  </si>
  <si>
    <t>৪,৫০,০০০/-</t>
  </si>
  <si>
    <t>বিভিন্ন শ্রেণির গ্রাহকের নিকট হতে দীর্ঘদিন যাবৎ বকেয়া আদায় না করায় প্রতিষ্ঠানের আর্থিক ক্ষতি ৪৭,৬২,০৯৫/- টাকা।</t>
  </si>
  <si>
    <t>৪৭,৬২,০৯৫/-</t>
  </si>
  <si>
    <t>পিপিআর, ২০০৮ এর বিধি উপেক্ষা করে সীমিতি দরপত্র পদ্ধতিতে (এলটিএম) দরপত্র আহবানের মাধ্যমে ঠিকাদার নির্বাচন করে অনিয়মিতভোবে ১২,৭৩,৫১৫ (বারো লক্ষ তিয়াত্তর হাজার পাঁচশত পনেরো) টাকার কার্যসম্পাদন।</t>
  </si>
  <si>
    <t>১২,৭২,৫১৫/-</t>
  </si>
  <si>
    <t xml:space="preserve">বিক্রয় ও বিতরন বিভাগ-১ (উত্তর), বিউবো, ময়মনসিংহ। </t>
  </si>
  <si>
    <t>২০০২-২০০৩</t>
  </si>
  <si>
    <t>তৈল চুরি জড়িত টাকা=৯০০০০/</t>
  </si>
  <si>
    <t>২০০৭-২০০৮</t>
  </si>
  <si>
    <t>প্রতিনিয়ত বৈদ্যুতিক ট্রান্সফরমার চুরি জড়িত টাকা ১৫,৩০,০০০/- টাকা</t>
  </si>
  <si>
    <t>অর্থ মন্ত্রণালয়ের নির্দেশনা উপেক্ষা কওে মাসিক মূল বেতনের অতিরিক্ত অধিকাল ভাতা প্রদানের কারনে বোডের আর্থিক ক্ষতি।</t>
  </si>
  <si>
    <t>সাধারণ ভবিষ্য তহবিল বিধিমালা লঙ্গন করে জিপিএফ হতে উত্তোলিত অগ্রিম বাবদ ৪১,৬০,০০০ (একচল্লিশ লক্ষ ষাট হাজার) টাকা জমা না করায় অনিয়ম।</t>
  </si>
  <si>
    <t>৪১,৬০,০০০/-</t>
  </si>
  <si>
    <t> ১৮.১৭</t>
  </si>
  <si>
    <t>বিভিন্ন শ্রেণির গ্রাহকের নিকট হতে দীর্ঘদিন যাবৎ বকেয়া আদায় না করায় প্রতিষ্ঠানের আর্থিক ক্ষতি ৫৩,৮১,৫৪৫/- টাকা।</t>
  </si>
  <si>
    <t>৫৩,৮১,৫৪৫/-</t>
  </si>
  <si>
    <t>যানবাহন মেরামত খাতে ব্যয়সীমার অতিরিক্ত অনিয়মিত ব্যয়ে পিডিবির আর্থিক ক্ষতি ৩,৫২,৯৪৪ (তিন লক্ষ বায়ান্ন হাজার নয়শত চুয়াল্লিশ) টাকা।</t>
  </si>
  <si>
    <t>৩,৫২,৯৪৪/-</t>
  </si>
  <si>
    <t>দরপত্রের শর্তানুসারে যথাযথ অভিজ্ঞতার সনদ না থাকা সত্ত্বেও নন-রেসপনসিভযোগ্য দরদাতাকে রেসপনসিভ করে চুক্তি সম্পাদনে অনিয়মিত ব্যয় ৪,৯৯,৫০৯ (চার লক্ষ নিরানব্বই হাজার পাঁচশত নয়) টাকা।</t>
  </si>
  <si>
    <t>৪,৯৯,৫০৯/-</t>
  </si>
  <si>
    <t>বিক্রয় ও বিতরন বিভাগ-১, বিউবো, টাংগাইল।</t>
  </si>
  <si>
    <t>হস্তান্তরিত পল্লী বিদ্যুৎ বিদ্যুৎ সমিতির নিকট হতে বিদ্রুৎ বিল বাবদ ১২,৭২,৯৭,২২৬/-টাকা অনাদায়ী।</t>
  </si>
  <si>
    <t>ট্রান্সফরমার চুরি জনিত টাকা ৯,৭০,০০০/- টাকা ্</t>
  </si>
  <si>
    <t xml:space="preserve">ষ্টার ক্রয়  খাতে বাজেট বরাদ্দ অপেক্ষা ২৩,৩৫,৪৮৪/- টাকা  অতিরিক্ত ব্যয় </t>
  </si>
  <si>
    <t>২০০৯-২০১০</t>
  </si>
  <si>
    <t>পল্লী বিদ্যুৎ সমিতির নিকট বাসবার লস বাবদ পাওনা ৫,০১,৭০৩/২৭ টাকা ।</t>
  </si>
  <si>
    <t>২০১২-২০১৫</t>
  </si>
  <si>
    <t>সিপিডবিøউ কোডের প্যারা  ১৭৭ অনুযাযী রাজস্ব প্রাপ্তির অর্থ আদায়  করে সরকারি  কোষাগারে জমা প্রদান করা  বিভাগীয় প্রধানের দায়িত্ব হওয়া সত্বেও ৫০০০০/- টাকার উর্দ্ধে গ্রাহকের নিকট বকেয়া  অনাদায়ী ১০৫৪২২৪৭/- টাকা বোর্ডের আর্থিক  ক্ষতি  ।</t>
  </si>
  <si>
    <t>২০১৬-২০১৭</t>
  </si>
  <si>
    <t>অর্থ মন্ত্রণালয়ের অনুমোদন ব্যতিত দপ্তরের কর্মচারীদেরকে অধিকালভাতা পরিশোধ করায় সরকারের আর্থিক ক্ষতি ৫৯,৫২,৮৭১/- টাকা ।</t>
  </si>
  <si>
    <t xml:space="preserve">বিভিন্ন শ্রেনীর গ্রাহকের নিকট হতে বকেয়া বিদ্যুৎ বিল আদায় না করায় পিডিবির আর্থিক ক্ষতি ১২৯,৭০৫,৪১/- টাকা </t>
  </si>
  <si>
    <t>07(02)</t>
  </si>
  <si>
    <t xml:space="preserve">সংযোগ বিচ্ছিন্ন গ্রাহকের নিকট বিদ্যুৎ বিল আদায় না করায় সংস্থার ক্ষতি </t>
  </si>
  <si>
    <t>ফটোকপির পরিমান অস্বাভাবিক বেশি দেখিয়ে ইমপ্রেষ্ট হতে ফটো কপি বাবদ অস্বভাবিক বয়</t>
  </si>
  <si>
    <t xml:space="preserve">পিপিআর -2008 লংঘন করে অনুরোধ জ্ঞাপন পদ্ধতি প্রয়োগ করে মীমাতিরিক্ত অনিয়মিত ব্যয় </t>
  </si>
  <si>
    <t xml:space="preserve">বিভিন্ন  শ্রেণীর গ্রাহকের নিকট হতে বকেয়া বিদ্যুৎ বিল  আদায় না করায় প্রতিষ্ঠানের আর্থিক ক্ষতি </t>
  </si>
  <si>
    <t>শিডিউল অপেক্ষা কম কাজ করা সম্পুর্ন কাজের বিল পরিশোধ করায় সরকার/ বোর্ডেও আর্থিক ক্ষতি</t>
  </si>
  <si>
    <t>সীমিত দরপত্র পদ্ধতিতে প্রয়োজনীয় তথ্যাদি দাথিল না করা সত্তে¡ও ঠিকাদারকে রেসপনসিভ হিসাবে মূল্যায়ন পূর্বক অনিয়মিতভাবে চুক্তি সম্পাদন</t>
  </si>
  <si>
    <t>বিক্রয় ও বিতরন বিভাগ, বাজিতপুর, কিশোরগঞ্জ।</t>
  </si>
  <si>
    <t>প্রি-পেইড মিটার প্রতিস্থাপনের সময় গ্রাহকের নিকট হতে পূর্বের বকেয়া আদায় না করায় প্রতিষ্ঠানের আর্থিক ক্ষতি ৩,১৭,৬৮৬ টাকা।</t>
  </si>
  <si>
    <t>৩,১৭,৬৮৬/-</t>
  </si>
  <si>
    <t>বিভিন্ন শ্রেণির গ্রাহকের নিকট হতে বকেয়া বিদ্যুৎ বিল আদায় না করায় প্রতিষ্ঠানের আর্থিক ক্ষতি ৩০৫৮৭৫৮ টাকা।</t>
  </si>
  <si>
    <t>৩০,৫৮,৭৫৮/-</t>
  </si>
  <si>
    <t>বিক্রয় বিতরণ বিভাগ, বাজিতপুর, কিশোরগঞ্জ।</t>
  </si>
  <si>
    <t>নির্ধারিত লক্ষ্যমাত্রার অতিরিক্ত সিস্টেম লস হওয়ার দরুণ আর্থিক ক্ষতি ২৯,২৪,১১৫ (ঊনত্রিশ লক্ষ চব্বিশ হাজার একশত পনেরো) টাকা।</t>
  </si>
  <si>
    <t>২৯,২৪,১১৫/-</t>
  </si>
  <si>
    <t>বিক্রয় ও বিতরন বিভাগ, বিউবো, শেরপুর।</t>
  </si>
  <si>
    <t>নিখোজ সি শ্রেনীর ১০ জন গ্রাহকের নিকট প্রাপ্য  রাজস্ব অনাদায় জনিত সরকারের রাজস্ব ক্ষতি ১২,৫০,০৬৫/- টাকা ।</t>
  </si>
  <si>
    <t>চালু লাইনের ১ টি ২৫০ কেভিএ ট্রান্সফরমার চুরি জনিত টাকা ৫,০০,০০০/- টাকা ।</t>
  </si>
  <si>
    <t>২০১৪-২০১৫</t>
  </si>
  <si>
    <t>সিপিডব্লিউ এইচ কোডের প্যারা ১৭৭(এ) বিধি লংঘন করে ১৬ জন গ্রাহকের নিকট  ১৩ মাসের সমপরিমান বিদ্যুৎি বিল ও  ভ্যাট বাবদ ১৪,৩৩,৮৫১/- টাকা অনাদায়ী ।</t>
  </si>
  <si>
    <t>২০২৪-২০২৫</t>
  </si>
  <si>
    <t>১ম সর্বনিম্ন যোগ্য দরদাতার সাথে চুক্তি সম্পাদন না করে ২য় যোগ্য দরদাতার সাথে অনিয়মিতভাবে চুক্তি সম্পাদনের ফলে প্রতিষ্ঠানের আর্থিক ক্ষতি ৭,৭০,৮৪,৫১৩ (সাত কোটি সত্তর লক্ষ চুরাশি হাজার পাঁচশত তেরো) টাকা।</t>
  </si>
  <si>
    <t>চুক্তির শর্ত লঙ্ঘন করে ২৮ দিনের অধিক সময় কাজ বন্ধ রাখার পরও চুক্তি বাতিল করে পারফরমেন্স সিকিউরিটি বাজেয়াপ্ত ও অবশিষ্ট কাজের ওপর ২০% জরিমানা আরোপ না করায় সরকারের ৩২৮৩১৫৯১ (তিন কোটি আটাশ লক্ষ একত্রিশ হাজার পাঁচশত একানব্বই) টাকা আর্থিক ক্ষতি।</t>
  </si>
  <si>
    <t>নির্বাহী প্রকৌশলী, বিক্রয় ও বিতরণ বিভাগ-২, বিউবো, ময়মনসিংহ</t>
  </si>
  <si>
    <t>প্রি-পেইড মিটার প্রতিস্থাপনের সময় গ্রাহকের নিকট হতে পূর্বের বকেয়া আদায় না করায় প্রতিষ্ঠানের আর্থিক ক্ষতি ৪,৮৫,৪৯,৯৭৮ (চার কোটি পঁচাশি লক্ষ উনপঞ্চাশ হাজার নয়শত আটাত্তোর) টাকা।</t>
  </si>
  <si>
    <t>নির্বাহী প্রকৌশলী, বিক্রয় ও বিতরণ বিভাগ-৩, বিউবো, ময়মনসিংহ</t>
  </si>
  <si>
    <t>১ম সর্বনিম্ন দরদাতাকে কার্যাদেশ প্রদান না করে ২য় সর্বনিম্ন দরদাতার সাথে চুক্তি সম্পাদন ও বিল পরিশোধ করায় সরকারের ১১৬২৯২৮২ (এক কোটি ষোল লক্ষঊনত্রিশ হাজার দুইশত বিরাশি) টাকা আর্থিক ক্ষতি।</t>
  </si>
  <si>
    <t>আরসিসি সড়কে পরিকল্পনা কমিশনের রোড ডিজাইন স্ট্যান্ডার্ড ২০২১ এর চেয়ে অতিরিক্ত পুরুত্বের ডিজাইন লেয়ার ব্যবহার করে প্রাক্কলন অনুমোদন ও বিল পরিশোধ করায় সরকারের ৩২৩৭৫৬৬ (বত্রিশ লক্ষ সাঁইত্রিশ হাজার পাঁচশত ছিষট্টি) টাকা আর্থিক ক্ষতি।</t>
  </si>
  <si>
    <t xml:space="preserve">নির্বাহী প্রকৌশলী, পিসিপোল নির্মাণ কারখানা, সৈয়দপুর, নীলফামারী </t>
  </si>
  <si>
    <t>কার্যকর প্রতিযোগিতা ও টিডিএস শর্ত উপেক্ষা করে একক/অযোগ্য দরদাতার সাথে উর্ধ্বদরে চুক্তি ও বিল পরিশোধে সরকারের আর্থিক ক্ষতি ৪১,৩০,৭৭৮ (একচল্লিশ লক্ষ ত্রিশ হাজার সাতশত আটাত্তর) টাকা।</t>
  </si>
  <si>
    <t>বিভিন্ন শ্রেণির সংযোগ বিচ্ছিন্ন গ্রাহকের নিকট হতে দীর্ঘদিন যাবৎ বকেয়া আদায় না করায় প্রতিষ্ঠানের আর্থিক ক্ষতি ৩২৫৪৮৮৩৩৬ টাকা।</t>
  </si>
  <si>
    <t>নির্বাহী প্রকৌশলী, বিক্রয় ও বিতরণ বিভাগ-১, বিউবো, টাংগাইল</t>
  </si>
  <si>
    <t>মন্ত্রণালয়ের নির্দেশনা প্রতিপালন না করে জমাকৃত নিরাপত্তা জামানত বাবদ ১০২৫০৫৬৫০ টাকা ফেরত না দিয়েই পোস্ট পেইড মিটার পরিবর্তন করে প্রাহকের প্রি-পেইড মিটার সংযোগ প্রদান।</t>
  </si>
  <si>
    <t>চাঁপাইনবাবগঞ্জ ১০০ মে.ও. পিকিং বিদ্যুৎ কেন্দ্র, আমনুরা, চাঁপাইনবাবগঞ্জ</t>
  </si>
  <si>
    <t>বিভিন্ন অয়েল কোম্পানীকে তেলের মূল্য বাবদ অগ্রিম প্রদত্ত অর্থ সমন্বয় না করায় বোর্ডের আর্থিক ক্ষতি ৪৪,৩৬,৬৫,৪৮৮ টাকা।</t>
  </si>
  <si>
    <t>সান্তাহার ৫০ মেঃওঃ পিকিং বিদ্যুৎ কেন্দ্র, বিউবো, সান্তাহার, বগুড়া</t>
  </si>
  <si>
    <t>ড্যামেজড আইটেম/মালামাল দীর্ঘদিন স্টোরে অব্যবহারযোগ্য থাকার পরেও কনডেমনেশন না করায় বোর্ডের আর্থিক ক্ষতি ৩,৪৯,৯৫,৬৭২ টাকা।</t>
  </si>
  <si>
    <t>কাটাখালী ৫০ মেঃ ওঃ পিকিং বিদ্যুৎ কেন্দ্র, বিউবো, কাটাখালী, রাজশাহী</t>
  </si>
  <si>
    <t>উদ্ধারকৃত মালামাল বাস্তবে যাচাইয়ে সংশ্লিষ্ট গুদামে পাওয়া না গেলেও ঠিকাদারদের অনুকূলে বিল পরিশোধের ফলে বিপিডিবির মোট আর্থিক ক্ষতি ৪৯২৩৭৪৫ (উনপঞ্চাশ লক্ষ তেইশ হাজার সাতশত পঁয়তাল্লিশ) টাকা।</t>
  </si>
  <si>
    <t>বাংলাদেশ পল্লী বিদ্যুতায়ন বোর্ডের সাথে পোল বিক্রয় সংক্রান্ত MoU স্বাক্ষর না করেই আরইবির ডিজাইনের মোল্ড তৈরী ও পোল সরবরাহ করায় বোর্ডের ১১১৭৫২৭৭৭ (এগার কোটি সতের লক্ষ বায়ান্ন হাজার সাতশত সাতাত্তর) টাকা আর্থিক ক্ষতি।</t>
  </si>
  <si>
    <t>ঠিকাদারের প্রতি আনুকূল্য প্রদর্শনপুর্বক দরপত্রের শর্ত শিথিল করে অযোগ্য ঠিকাদারকে বাজার দর যাচাই না করে উর্ধ্বদরে কার্যাদেশ প্রদান ও বিল পরিশোধ করায় বোর্ডের ৩৪১৯২৫৪ (চৌত্রিশ লক্ষ উনিশ হাজার দুইশত চুয়ান্ন) টাকা আর্থিক ক্ষতি।</t>
  </si>
  <si>
    <t>পোলের বাস্তব ওজনের তুলনায় অধিক ওজন প্রাক্কলনে অন্তর্ভক্ত করে চুক্তি সম্পাদনের ফলে পিডিবির আর্থিক ক্ষতি ১৪৬৪০০০ টাকা।</t>
  </si>
  <si>
    <t>এইচএফও থেকে সংগৃহীত স্লাজের মজুদ কম প্রদর্শন করায় ঘাটতিকৃত স্লাজের মূল্য বাবদ বোর্ডের আর্থিক ক্ষতি ৫৯,৩৩,৩৯৭ টাকা।</t>
  </si>
  <si>
    <t>ওটিএম পদ্ধতিতে স্ল্যাজ বিক্রি না করে বোর্ড কর্তৃক নির্দিষ্টকৃত প্রতিষ্ঠানের নিকট নিলাম করায় সরকারের আর্থিক ক্ষতি ৫,২৭,৪৯,০০০ টাকা।</t>
  </si>
  <si>
    <t>প্ল্যান্টের পরিবেশগত ছাড়পত্র নবায়ন না করা সত্ত্বেও সাময়িক আগামের মাধ্যমে নবায়ন ফি বাবদ অর্থ ব্যয় দেখানোয় বোর্ডের আর্থিক ক্ষতি ১৮,৪৩,৬৮০ টাকা।</t>
  </si>
  <si>
    <t>ভূমির মালিকানা প্রতিষ্ঠানের নামে নামজারিপূর্বক অনলাইন হোল্ডিং তৈরি করে ভুমি উন্নয়ন কর পরিশোধ না করায় সরকারের রাজস্ব ক্ষতি ১৫,৭৩,৫০৪ টাকা।</t>
  </si>
  <si>
    <t>রেন্টাল ভিত্তিক প্রাইভেট পাওয়ার প্ল্যান্টের জ্বালানি তেল পরিবহনকারী ওয়াগনের ভাড়া চাঁপাইনবাবগঞ্জ প্ল্যান্টের নিজস্ব তহবিল হতে পরিশোধ করায় বোর্ডের আর্থিক ক্ষতি ১,৭২,৫৯,৮৩৪ টাকা।</t>
  </si>
  <si>
    <t>বিভিন্ন শ্রেণির গ্রাহকের নিকট হতে দীর্ঘদিন যাবৎ বকেয়া বিদ্যুৎ বিল আদায় না করায় প্রতিষ্ঠানের আর্থিক ক্ষতি ৩৯১০৮২৯১৬ টাকা।</t>
  </si>
  <si>
    <t>চুক্তি সম্পাদন ব্যাতীত তেল ক্রয় ও পরিবহন করায় অনিয়মিত ব্যয় ১১১৯,৯৭,৮৫,০২৬ টাকা।</t>
  </si>
  <si>
    <t>দাপ্তরিক প্রাক্কলিত মূল্য বাস্তব সম্মত হওয়ার পরও অস্বাভাবিক নিম্নদরে অনিয়মিতভাবে  ৩,৫৭,৮৫,০৩৩ (তিন কোটি সাতান্ন লক্ষ পঁচাশি হাজার তেত্রিশ) টাকার চুক্তি সম্পাদন ও বিল প্রদান ।</t>
  </si>
  <si>
    <t xml:space="preserve">নির্বাহী প্রকৌশলী, আঞ্চলিক পূর্ত নির্মাণ বিভাগ, বিউবো, ময়মনসিংহ </t>
  </si>
  <si>
    <t xml:space="preserve">চাহিদাপত্র ব্যতীত প্রয়োজন অতিরিক্ত মালামাল ক্রয় করায় বোর্ডের অনিয়মিত ব্যয় ২১,৯১,৮৫,১৭৯ টাকা। </t>
  </si>
  <si>
    <t>বিদ্যুৎ ক্রয় চুক্তি (পিপিএ) এর শর্তানুযায়ী পাওয়ার প্ল্যান্টের বিমা না করায় বিমা প্রিমিয়াম ও প্রিমিয়ামের উপরে ভ্যাট বাবদ সরকারের আর্থিক ক্ষতি ৫,২৩,৬০,৫০৮ টাকা।</t>
  </si>
  <si>
    <t>জমাভিত্তিক কাজের ক্ষেত্রে সংস্থাপন ও সুপারভিশন চার্জ আদায় না করায় পিডিবির আর্থিক ক্ষতি ১০৯২০৪৫৮ (এক কোটি নয় লক্ষ বিশ হাজার চারশত আটান্ন) টাকা।</t>
  </si>
  <si>
    <t>দাপ্তরিক প্রাক্কলিত মূল্য প্রকাশ করে পারস্পরিক যোগসাজসের মাধ্যমে ঠিকাদার নির্বাচন পূর্বক অনিয়মিতভাবে ৫৪৭৩৩৪৭.৫২৫ টাকার কার্য সম্পাদন।</t>
  </si>
  <si>
    <t>বাবিউবো এর আর্থিক ক্ষমতা অর্পণ নীতিমালার নির্দেশনা লংঘন করে মশক নিধন খাতে অপ্রয়োজনীয় ব্যয়ে সরকারের আর্থিক ক্ষতি ৩১৫৬৩০৩/- টাকা।</t>
  </si>
  <si>
    <t>উন্মুক্ত দরপত্র পদ্ধতি (ওটিএম) যোগ্য কাজকে এলটিএম পদ্ধতিতে দরপত্র আহবান পূর্বক অনিয়মিত ভাবে ৩১০৪০৮৭ টাকার কার্যসম্পাদন।</t>
  </si>
  <si>
    <t>বাংলাদেশ ব্যাংকের Exchange rate এর চেয়ে অধিক রেটে ডলারের বিপরীতে দেশীয় মুদ্রায় বিল পরিশোধ করায় সরকারের আর্থিক ক্ষতি ৯৫০৬৮০ টাকা।</t>
  </si>
  <si>
    <t>যানবাহন মেরামত খাতে ব্যয়সীমার অতিরিক্ত অনিয়মিত ব্যয়ে সরকারের আর্থিক ক্ষতি ১৪৯০৬২০  টাকা।</t>
  </si>
  <si>
    <t>বিদ্যুৎ বিভাগের নির্দেশনা উপেক্ষা করে এমটি গ্রাহকদের গড় পাওয়ার ফেক্টর .৭৫% এর নিচে থাকার পও গ্রাহকের প্রতি আনুকূল্য প্রদর্শনপূর্বক সংযোজ বিচ্ছিন্ন ও রিএক্টিভ চার্জ আরোপ না করা হয়নি।</t>
  </si>
  <si>
    <t>পিপিএ এর শর্তানুসারে প্লান্টের ডিপেন্ডেবল ক্যাপাসিটি টেস্ট (DCT) না করে অপারেশন এন্ড মেইন্টেনেন্স (ও এন্ড এম) বাবদ অনিয়মিত ব্যয় ১৪,০৬,২১,১৩৯ টাকা।</t>
  </si>
  <si>
    <t>প্লান্টের ব্যবহৃত ফার্ণেস অয়েলের স্লাজ সঠিক ভাবে বর্জ্য ব্যবস্থাপনা না করায় পরিবেশ ও জলবায়ুর উপর বিরুপ প্রভাব।</t>
  </si>
  <si>
    <t>TDS এর নির্দেশনা উপেক্ষা করে দরপত্রে অত্যাধিক বেশি হারে annual construction turnover নির্ধারণপূর্বক একক দরদাতার সাথে ২৯৪৩৮৫১ (উনত্রিশ লক্ষ তেতাল্লিশ হাজার আটশত একান্ন) টাকার কার্যসম্পাদন।</t>
  </si>
  <si>
    <t>OTM পদ্ধতির পরিবর্তে OSTETM এ অনিয়মিতভাবে ১৩১০০২৩০০ (তের কোটি দশ লক্ষ দুই হাজার তিনশত) টাকার কার্যাদেশ প্রদান ও বিল পরিশোধ ।</t>
  </si>
  <si>
    <t>সরকারের নির্দেশনা উপেক্ষা করে প্ল্যান্ট হ্যান্ড ওভারের পর Long Term Service Agreement করে অনিয়মিত ব্যয় ১২৮,৯৯,৮৩,৮৫৮ টাকা।</t>
  </si>
  <si>
    <t>জোন</t>
  </si>
  <si>
    <t>ময়মনসিংহ</t>
  </si>
  <si>
    <t>বাংলাদেশ বিদ্যুৎ উন্নয়ন বোর্ড 
অনিষ্পন্ন আপত্তি সমুহের হাল নাগাদ অবস্থান 
 ময়মনসিংহ জোন ( এসএফআই এবং এসএফআই ) 18/06/2026খ্রি.</t>
  </si>
  <si>
    <t>SFI</t>
  </si>
  <si>
    <t>NON SFI</t>
  </si>
  <si>
    <t>মোট</t>
  </si>
  <si>
    <t>ত্রিপক্ষিয় সভায় আলোচনা</t>
  </si>
  <si>
    <t>ত্রিপক্ষিয় সভায় সুপারিশ</t>
  </si>
  <si>
    <t xml:space="preserve">ব্রডশীট জবাব প্রেরণ </t>
  </si>
  <si>
    <t>নিষ্পত্তির জন্য সুপারিশ</t>
  </si>
  <si>
    <t>9=(7+8)</t>
  </si>
  <si>
    <t>নির্বাহী প্রকৌশলী, বিক্রয় ও বিতরণ বিভাগ-২ (দক্ষিণ), বিউবো, ময়মনসিংহ</t>
  </si>
  <si>
    <t>নির্বাহী প্রকৌশলী, বিক্রয় ও বিতরণ বিভাগ, কিশোরগঞ্জ</t>
  </si>
  <si>
    <t>প্রকল্প পরিচালক, বিদ্যুৎ ব্যবস্থা উন্নয়ন প্রকল্প, ময়মনসিংহ</t>
  </si>
  <si>
    <t xml:space="preserve">নির্বাহী প্রকৌশলী, বিক্রয় ও বিতরন বিভাগ-১ (উত্তর), বিউবো, ময়মনসিংহ। </t>
  </si>
  <si>
    <t>নির্বাহী প্রকৌশলী, বিক্রয় ও বিতরন বিভাগ-১, বিউবো, টাংগাইল।</t>
  </si>
  <si>
    <t>আবাসিক প্রকৌশলী, ঈশ^রগঞ্জ বিদ্যুৎ সরবরাহ, বিউবো, ময়মনসিংহ</t>
  </si>
  <si>
    <t xml:space="preserve">বিতরণ বিভাগ, বিউবো, জামালপুর </t>
  </si>
  <si>
    <t>নির্বাহী প্রকৌশলী, বিতরণ বিভাগ, বিউবো, শেরপুর।</t>
  </si>
  <si>
    <t>শান্তাহার  50মেঃওঃ পিকিংবিদ্যুৎ কেন্দ্র , বগুড়া।</t>
  </si>
  <si>
    <t>কাটাখালী 50মেঃওঃ পিকিংবিদ্যুৎ কেন্দ্র , রাজশাহী</t>
  </si>
  <si>
    <t>চাপাইনবাবগঞ্জ 100মেঃওঃ পিকিং বিদ্যুৎ কেন্দ্র,আমনুরা,চাপাইনবাবগঞ্জ</t>
  </si>
  <si>
    <t>নির্বাহী প্রকৌশলী, পিসিপোল নির্মান কারখানা, নিলফামারী</t>
  </si>
  <si>
    <t>নির্বাহী প্রকৌশলী,  বিক্রয় ও বিতরণ বিভাগ, বাজিতপুর, কিশোরগঞ্জ</t>
  </si>
  <si>
    <t>নির্বাহী প্রকৌশলী,  বিক্রয় ও বিতরণ বিভাগ, কিশোরগঞ্জ</t>
  </si>
  <si>
    <t>নির্বাহী প্রকৌশলী,  বিক্রয় ও বিতরণ বিভাগ, ভৈরব, কিশোরগঞ্জ</t>
  </si>
  <si>
    <t xml:space="preserve"> প্রধান প্রকৌশলী বিতরণ দক্ষিণাঞ্চল, বিউবো, চট্টগ্রাম।</t>
  </si>
  <si>
    <t>অর্থ মন্ত্রণালয়ের অনুমোদন ব্যতিত দপ্তরের কর্মচারীদেরকে অধিকাল ভাতা পরিশোধ করায় সরকারের আর্থিক ক্ষতি।</t>
  </si>
  <si>
    <t>নির্বাহী প্রকৌশলী, বিক্রয় ও বিতরণ বিভাগ, কালুরঘাট, বিউবো, চট্টগ্রাম।</t>
  </si>
  <si>
    <t>১৯৯৫-১৯৯৬</t>
  </si>
  <si>
    <t>সংযোগ বিচ্ছিন্ন গ্রাহকের নিকট বকেয়া</t>
  </si>
  <si>
    <t>১৯৯৮-১৯৯৯</t>
  </si>
  <si>
    <t>নূন্যতম হার অপেক্ষা কম হারে বিল করায় ক্ষতি ।</t>
  </si>
  <si>
    <t>সংযোগ বিচ্ছিন্ন গ্রাহকদের নিকট পেনান্টি রেট বাবদ আদায়যোগ্য ।</t>
  </si>
  <si>
    <t>নতুন যন্ত্রাংশ স্থাপনের জন্য মূল্য পরিশোধ করা হইলেও পুরাতন যন্ত্রাংশ ফেরত না নেওয়ায় ৬৮,৮১২/- টাকা ক্ষতি ।</t>
  </si>
  <si>
    <t>সংযোগ বিচ্ছিন্ন “ ই” শ্রেণীর গ্রাহক এর নিকট বকেয়া (“ ই” শ্রেণীর গ্রাহক -৪১ জন)।</t>
  </si>
  <si>
    <t>ঠিকাদারগনের সরবরাহ বিল হইতে ৩% হারে ভ্যাট কর্তন না করায় সরকারের ৭৩,৭৫৬/- টাকা ক্ষতি ।</t>
  </si>
  <si>
    <t xml:space="preserve">১৯৯৯-২০০০ </t>
  </si>
  <si>
    <t>কার্য সম্পাদন কালে অলিক ব্যয় ১৯,৮৭৭/- টাকা ।</t>
  </si>
  <si>
    <t>2001-2002</t>
  </si>
  <si>
    <t>নিখোঁজ হিসাবধারী বিদ্যুৎ গ্রাহদের নিকট বিদ্যুৎ বিল বাবদ ৩,৩৩,৭৪০/১৩ টাকা অনাদায়ী। উক্ত টাকা সত্ত্বর টাকা আদায়যোগ্য।</t>
  </si>
  <si>
    <t>3,33,740</t>
  </si>
  <si>
    <t>বৈদ্যুতিক সংযোগ বিচ্ছিন্ন গ্রাহক বকেয়া।</t>
  </si>
  <si>
    <t>সংযোগ বিচ্ছিন্ন গ্রাহকদের নিকট অনাদায়ী</t>
  </si>
  <si>
    <t>২০১১-২০১২</t>
  </si>
  <si>
    <t>বিদ্যুৎ বিলের সাথে ভ্যাট বাবদ আদায়কৃত টাকা সরকারী কোষাগারে জমা প্রদান না করায় সরকারের রাজস্ব ক্ষতি ৭১,৪৩,৭৩০/- টাকা। ক্ষতির টাকা অতিসত্বর জমা প্রদান আবশ্যক।</t>
  </si>
  <si>
    <t>২০১২-২০১৩</t>
  </si>
  <si>
    <t>মূল বেতন অপেক্ষা অধিক হারে অধিকাল ভাতা প্রদান করায় বোর্ডের ৫,১২,৩৮০/- টাকার আর্থিক ক্ষতি ।</t>
  </si>
  <si>
    <t>বিভিন্ন গ্রাহকের নিকট প্রি-পেইড মিটারিং (প্রি-পেইড মিটার সংযোজনের পূর্বের) বাবদ বকেয়া ।</t>
  </si>
  <si>
    <t>2019-2020</t>
  </si>
  <si>
    <t>কার্যাদেশ অনুযায়ী বাস্তবে কাজ না করা সত্ত্বেও কার্যাদেশ প্রদানের ২য় দিনেই ঠিকাদারকে অনিয়মিভাবে ১২,৫০,১৮৪/- টাকা পরিশোধ।</t>
  </si>
  <si>
    <t>নির্বাহী প্রকৌশলী, বিক্রয় ও বিতরণ বিভাগ, খুলশী</t>
  </si>
  <si>
    <t>১৯৯২-১৯৯৩</t>
  </si>
  <si>
    <t>অবৈধ সংযোগ বকেয়া</t>
  </si>
  <si>
    <t>গ্রাহকের বকেয়া।</t>
  </si>
  <si>
    <t>২০০৪-২০০৫</t>
  </si>
  <si>
    <t>বিদুৎ বিল বকেয়া।</t>
  </si>
  <si>
    <t>250 কেভিএ দুটি ট্রান্সমিটার চুরি।</t>
  </si>
  <si>
    <t>স্থায়ীভাবে সংযোগ বিচ্ছিন্ন গ্রাহকগণের নিকট হতে বিদ্যুৎ বিলের বকেয়া বাবদ ৫৩,৫৮,৯৭৬/- টাকা আদায় করা হয় নাই</t>
  </si>
  <si>
    <t>দীর্ঘদিনের বকেয়া গ্রাহকের নিকট হতে সারচারর্জ বাবদ অনাদায়ী</t>
  </si>
  <si>
    <t>৬৪,৮৬,২০৮/-</t>
  </si>
  <si>
    <t>নির্বাহী প্রকেীশলী, বিক্রয় ও বিতরণ বিভাগ-স্টেডিয়াম, বিউবো, চট্টগ্রাম।</t>
  </si>
  <si>
    <t>সংযোগ বিচ্ছিন্ন গ্রাহকের নিকট বকেয়া বাবদ ৪২৪৭৮৩৯/- অনাদায়ী</t>
  </si>
  <si>
    <t> নির্বাহী প্রকৌশলী, বিক্রয় ও বিতরণ বিভাগ, পাহাড়তলী, বিউবো, চট্টগ্রাম</t>
  </si>
  <si>
    <t>1999-2000</t>
  </si>
  <si>
    <t>নিখোঁজ এবং নিষ্ক্রিয় গ্রাহকের নিকট ২,২৫,৯৮,৯২৬/৬৩ টাকা অনাদায়ী।</t>
  </si>
  <si>
    <t>2008-2010</t>
  </si>
  <si>
    <t>সংযোগ বিচ্ছিন্ন গ্রাহকের নিকট ৪৭,৬৫,৮৪৭/- টাকা বিদ্যুৎ বিল পড়ে রয়েছে।</t>
  </si>
  <si>
    <t xml:space="preserve">2014-2015 </t>
  </si>
  <si>
    <t>আবাসিক গ্রাহক, শিল্প ও বাণিজ্যিক প্রতিষ্ঠান, ক্ষুদ্র ও কুটির শিল্প প্রতিষ্ঠানের নিকট হতে দীর্ঘদিন যাব বকেয়া বিদ্যুr বাবদ ২১,৪৪,৫৮,২৬৩/- টাকা অনাদায়ী।</t>
  </si>
  <si>
    <t>214,458,263/-</t>
  </si>
  <si>
    <t>2014-2015</t>
  </si>
  <si>
    <t>ব্যাংক কর্তৃক আদায়কৃত বিদ্যুৎ বিলের ১৪,১৯,০৪,৯২৮/-টাকা চুক্তি মোতাবেক কেন্দ্রীয় হিসাবে স্থানান্তর না কতে মাসের পর মাস ধওে রাখায় জরিমানা হিসাবে + ২৮,৩৮,০৯৪/- টাকা আদায়যোগ্য।</t>
  </si>
  <si>
    <t> নির্বাহী প্রকৌশলী, বিক্রয় ও বিতরণ বিভাগ, পাথরঘাটা, বিউবো, চট্টগ্রাম</t>
  </si>
  <si>
    <t>নিখোঁজ গ্রাহকের নিকট হইতে বিদ্যুৎ বিল বাবদ ২৭,৭৯,৪৬২/- টাকা আদায় করা হয়নি ।</t>
  </si>
  <si>
    <t>২০১১-২০১৩</t>
  </si>
  <si>
    <t>সংযোগ বিচ্ছিন্ন গ্রাহকের বকেয়া বিদ্যুৎ বিল বাবদ ২৮৫৫৩৭১০.০০ টাকা অনাদায়ী থাকায় বোর্ডের আর্থিক ক্ষতি।</t>
  </si>
  <si>
    <t>বিভাগীয় রেষ্ট হাউজে এক নাগাড়ে বসবাস করা সত্বে ও নির্ধারিত হারে ভাড়া পরিশোধ না করায় সরকারের রাজস্ব ক্ষতি ৩,১২,১৭০ টাকা।</t>
  </si>
  <si>
    <t>12(1)</t>
  </si>
  <si>
    <t>অর্থ মন্ত্রনালযের নির্দেশনা উপেক্ষা করে মাসিক মূল বেতনের অতিরিক্ত অধিকাল ভাতা প্রদানের কারণে বোর্ডেও ক্ষতি ১০৪৯৪২৪/-টাকা।</t>
  </si>
  <si>
    <t>নির্বাহী প্রকেীশলী, বিতরণ বিভাগ-কক্সবাজার, বিউবো, কক্সবাজার।</t>
  </si>
  <si>
    <t>2009-2010</t>
  </si>
  <si>
    <t>এফ শ্রেণী (মধ্যম চাপ) গ্রাহকের নিকট বিদ্যুৎ বিল বাবদ ১,৭২,০৭,৪৪৫/-টাকা বকেয়া উক্ত বকেয়া আদায় করা আবশ্যক।</t>
  </si>
  <si>
    <t>2002-2003</t>
  </si>
  <si>
    <t>বিউবোর নির্দেশ ও কোডাল বিধি অমান্য করে একই ধরনের কাজকে ভাগ ভাগ কওে উর্দ্ধতন কর্তৃপক্ষের অনুমোদন ছাড়াই ৩০,৪৩,০২৯/- টাকা কার্য সম্পাদন।</t>
  </si>
  <si>
    <t>ভাতা প্রদানের শর্ত পরিপালন না কওে ঢালাওভাবে কর্মচারীদেও অধিকাল ভাতা বাবদ বোর্ডেও ১০,৪৯,৯০৪/-টাকা আর্থিক ক্ষতি।</t>
  </si>
  <si>
    <t>মৃত গ্রাহকের নিকট হইতে বিলের টাকা আদায় না করায় ৭৯,১২,৪৮৭/- টাকার ক্ষতি।</t>
  </si>
  <si>
    <t>2007-2008</t>
  </si>
  <si>
    <t>পিপিআর-২০০৬ এ প্রবিধানমালা লংঘন কওে দরপত্র মূল্যায়নে সরকার তথা বোর্ডেও ২,৪২,৪৩৯.৪২ টাকা ক্ষতি। দায়-দায়িত্ব নিরুপন করা আবশ্যক।</t>
  </si>
  <si>
    <t>2020-2021</t>
  </si>
  <si>
    <t>10(3)</t>
  </si>
  <si>
    <t>পোস্ট পেইড হইতে প্রি-পেইড মিটাওে স্থাপনকৃত গ্রাহকগণকে নিরাপত্তা জামানত ফেরত/সমন্বয় না দেওয়ায় গ্রাহকের আর্থিক ক্ষতি ৩.৫১,৬৭০/- টাকা।</t>
  </si>
  <si>
    <t>2018-2019</t>
  </si>
  <si>
    <t>2(1)</t>
  </si>
  <si>
    <t xml:space="preserve">দীর্ঘদিন যাবত বিভিন্ন শ্রেণীর গ্রাহকদের নিকট হতে বকেয়া বিদ্যুৎ বিল আদায় না করায বোর্ডের ক্ষতি। </t>
  </si>
  <si>
    <t>30(2)</t>
  </si>
  <si>
    <t>পিপিআর-২০০৮ লংঘন কণ্ডে কার্যাদেশ সমাপ্তির কোন নির্দিষ্ট সময়সীমা উল্লেখ না কওে অনিয়মিত কার্যাদেশ প্রদান; এবং যথাসময়ে কার্যসম্পাদনে ব্যর্থ ঠিকাদারের সময় বর্ধন অনুমোদন ও জরিমানা বাবদ ৮.৯২,৭৬৪/-টাকা আরোপ/আদায় না করেই ৮১,৩৮,৭৯৬/- টাকার চুড়ান্ত বিল পরিশোধ করা হয়েছ।</t>
  </si>
  <si>
    <t>নির্বাহী প্রকৌশলী, বিক্রয় ও বিতরণ বিভাগ, আগ্রাবাদ</t>
  </si>
  <si>
    <t>অর্থ মন্ত্রনালয়ের অণুমোদন ব্যতীত দপ্তরের কর্মচারীদেরকে অধিকাল ভাতা পরিশোধ করায় সরকারের আর্থিক ক্ষতি।</t>
  </si>
  <si>
    <t>2021-2022</t>
  </si>
  <si>
    <t>28(8)</t>
  </si>
  <si>
    <t>নির্দেশনাবলী এর  (গ) অর্পিত আর্থিক ক্ষমতা প্রয়োগের বিশেষ নির্দেশিকাবিভিন্ন শ্রেণির গ্রাহকের নিকট হতে বকেয়া বিদ্যুৎ বিল আদায় না করায় প্রতিষ্ঠানের আর্থিক ক্ষতি ১,৬৩,৪৯,১১৩/-টাক মাত্র।</t>
  </si>
  <si>
    <t>1,63,49,113/-</t>
  </si>
  <si>
    <t>32(4)</t>
  </si>
  <si>
    <t>প্রি-পেইড মিটার সংযোগ মিটার সংযোগের পূর্বে জমাকৃত নিরাপত্তা জামানত ফেরত প্রদান না করায় গ্রাহকের ১,৫৫,৯৬,০০০/- আর্থিক ক্ষতি।</t>
  </si>
  <si>
    <t xml:space="preserve">1,55,96,000/-  </t>
  </si>
  <si>
    <t>41(1)</t>
  </si>
  <si>
    <t>অনিয়মিতভাবে মূল বেতনের অতিরিক্ত অধিকাল ভাতা প্রদান করায় প্রতিষ্ঠানের আর্থিক ক্ষতি ১৪,০৬,৪২১/-(চৌদ্দ লক্ষ ছয় হাজার চারশত একুশ টাকা)।</t>
  </si>
  <si>
    <t>14,06,421/-</t>
  </si>
  <si>
    <t>44(11)</t>
  </si>
  <si>
    <t>প্রি-পেইড মিটার প্রতিস্থাপনের সময় বিভিন্ন শ্রেণির গ্রাহকের নিকট হতে পূর্বের বকেয়া আদায় না করায় প্রতিষ্ঠানের আর্থিক ক্ষতি ৩৪,১৩,২৫১/-।</t>
  </si>
  <si>
    <t>34,13,251/-</t>
  </si>
  <si>
    <t>নির্বাহী প্রকৌশল বিক্রয় ও বিতরণ বিভাগ, হালিশহর, বিউবো,চট্টগ্রাম।</t>
  </si>
  <si>
    <t>2017-2018</t>
  </si>
  <si>
    <t>জরুরী ও বিশেষায়িত কাজ না হওয়া সত্ত্বেও ঢালাওভাবে সীমিত দরপত্র পদ্ধতিতে কার্যসম্পাদন।</t>
  </si>
  <si>
    <t>নির্ধারিত সময়ে কার্য সম্পাদনে ব্যর্থ ঠিকাদারের নিকট হতে জরিমানা আদায় না করায় বোর্ডর আর্থিক ক্ষতি।</t>
  </si>
  <si>
    <t>এইচটি/এমটি গ্রাহকের অনিয়মিতভাবে প্রাক্কলিত/অনুমান নির্ভার বিল প্রণয়ন, পিক আওয়ারে রিডিং শুন্য দেখিয়ে শুধুমাত্র অফপিক আওয়ারের বিল এবং দীর্ঘদিন যাবত শূন্য রিডিং এর বিল করায় বোর্ডের রাজস্ব ক্ষতি।</t>
  </si>
  <si>
    <t>সংযোগ বিচ্ছিন্ন গ্রাহকের নিকট হতে বকেয়া বিদ্যুৎ বিল আদায় না করায় বিউবো'র রাজস্ব ক্ষতি।</t>
  </si>
  <si>
    <t>2000-2001</t>
  </si>
  <si>
    <t>নিয়মানুযায়ী পাওয়ার ফ্যাক্টও নির্ধারন ও পাওয়ার ফ্যাক্টও চার্জ আরোপ না করায় ১৬,১২,৪৯২/- টাকা ক্ষতি সাধন করা হইয়াছে।</t>
  </si>
  <si>
    <t>চুক্তিপত্রের শর্তানুযায়ী অভিজ্ঞতা না থাকা সত্ত্বেও ঠিকাদারকে রেসপনসিভ হিসেবে বিবেচনা করে মূল্যায়ন পূর্বক অনিয়মিতভাবে ২,৭৩,০১,৫৪২/- (দুই কোটি তিয়াত্তর লক্ষ এক হাজার পাঁচশত বিয়াল্লিশ) টাকার চুক্তি সম্পাদন।</t>
  </si>
  <si>
    <t>2,73,01,542/-</t>
  </si>
  <si>
    <t>27(11)</t>
  </si>
  <si>
    <t>সংযোগ বিচ্ছিন্ন গ্রাহকের নিকট হতে দীর্ঘদিন যাবৎ বকেয়া আদায় না করায় প্রতিষ্ঠনের আর্থিক ক্ষতি ১,৮৬,৫৪,৩৮৩/-(এক কোটি ছিয়াশি লক্ষ চুয়ান্ন হাজার নয়শত আশি) টাকা।</t>
  </si>
  <si>
    <t>1,86,54,383/-</t>
  </si>
  <si>
    <t>28(12)</t>
  </si>
  <si>
    <t>বিভিন্ন শ্রেণির গ্রাহকের নিকট হতে বকেয়া আদায় না করায় প্রতিষ্ঠনের আর্থিক ক্ষতি ৬৫,৬৯,৪০২/-(পঁয়ষট্টি লক্ষ উনসত্তর হাজার চারশত দুই) টাকা।</t>
  </si>
  <si>
    <t>65,69,402/-</t>
  </si>
  <si>
    <t>29(1)</t>
  </si>
  <si>
    <t>টার্গেট অনুযায়ী সিআই রেশিও (CI Ratio) লক্ষ্য মাত্রা অর্জনে ব্যর্থ হওয়ার পরও কর্মকর্তা কর্মচারীদেও ২৯(১) অনিয়মিত ভাবে APA বোনাস প্রদান করায় প্রতিষ্ঠানের আর্থিক ক্ষতি ১৪.৮৯.৪৫০/- (একচল্লিশ লক্ষ পঞ্চাশ হাজর আটশত পাঁচ টাকা) টাকা।</t>
  </si>
  <si>
    <t>14,89,450/-</t>
  </si>
  <si>
    <t>44(10)</t>
  </si>
  <si>
    <t>প্রি-পেইড মিটার প্রতি স্থাপনের সময় বিভিন্ন শ্রেণির গ্রাহকের নিকট হতে পূর্বের বকেয়া আদায় না করায় প্রতিষ্ঠনের আর্থিক ক্ষতি ২৩.৮৭.০৯১/-(তেইশ লক্ষ সাতাশি হাজার একানব্বই) টাকা।</t>
  </si>
  <si>
    <t>23,87,091/-</t>
  </si>
  <si>
    <t> নির্বাহী প্রকৌশলী, বিক্রয় ও বিতরণ বিভাগ-নিউমুরিং, বিউবো, চট্টগ্রাম</t>
  </si>
  <si>
    <t>সংযোগ বিচ্ছিন্ন গ্রাহকের নিকট হতে দীর্ঘদিন যাবৎ বকেয়া আদায় না করায় প্রতিষ্ঠানের আর্থিক ক্ষতি ৫৭,৬৩,১১৩/-টাকা।</t>
  </si>
  <si>
    <t>57,63,113/-</t>
  </si>
  <si>
    <t>প্রি-পেইড মিটার প্রতিস্থাপনের সময় বিভিন্ন শ্রেণির গ্রাহকের নিকট হতে পূর্বের বকেয়া আদায় না করায় প্রতিষ্ঠানের আর্থিক ক্ষতি ৪৮,৪৪,৯১৫/- টাকা।</t>
  </si>
  <si>
    <t>48,44,915/-</t>
  </si>
  <si>
    <t>নির্বাহী প্রকৌশল বিক্রয় ও বিতরণ বিভাগ,রামপুর, বিউবো,চট্টগ্রাম।</t>
  </si>
  <si>
    <t>4(3)</t>
  </si>
  <si>
    <t>জাতীয় রাজস্ব বোর্ডেও নির্দেশনা লংঘন কওে ঠিকাদার/সরবরহাকারীকে পরিশোধিত বিল হতে ভ্যাট বাবদ ৪৪,৭৯,৭৭৯/- টাকা কর্তন করা হয়নি ফতে সরকার রাজস্ব হতে বঞ্চিত।</t>
  </si>
  <si>
    <t>5(4)</t>
  </si>
  <si>
    <t>জাতীয় রাজস্ব বোর্ডেও নির্দেশনা লংঘন কতে ঠিকাদার/সরবরহাকারীকে পরিশোধিত বিল হতে আয়কর বাবদ ৫.৮৮.৭২৮/-টাকা কর্তন করা হয়নি ফওে সরকার রাজস্ব হতে বঞ্চিত</t>
  </si>
  <si>
    <t>38(1)</t>
  </si>
  <si>
    <t>অর্থ মন্ত্রণালয়ের অনুমোদন ছাড়াই প্রতিষ্ঠানের কর্মকর্তাদেও পালাবদল ভাতা বাবদ অর্থ অনিয়মিতভাবে গৃহীত হয়েছে</t>
  </si>
  <si>
    <t>নির্বাহী প্রকৌশলী, বিক্রয় ও বিতরণ বিভাগ- ষোলশহর, বিউবো, চট্টগ্রাম</t>
  </si>
  <si>
    <t>দীর্ঘদিন যাবত বিদ্যুৎ বিল অপরিশোধ থাকা সত্বেও গ্রাহকের বিরুদ্ধে বিদ্যুতের মূল্য হার নিয়মাবলী অনুযায়ী ব্যবস্থা গ্রহণ না করায় বোর্ড তথা সরকারের ৬,১২,৫৪৪/- টাকা জড়িত দায়-দায়িত্ব নির্ধারণ করা আবশ্যক।</t>
  </si>
  <si>
    <t>নিখোঁজ গ্রাহকের নিকট হতে বিদ্যুৎ বিল বাবদ ১,১৭,১৮,৭২৪/- টাকা আদায় করা হয়নি।</t>
  </si>
  <si>
    <t>বিদ্যুৎ আইন-২০১৮ এর নির্দেশনা মোতাবেক সংযোগ বিচ্ছিন্নক্ত গ্রাহকের নিকট হতে বকেয়া আদায় ব্যতীত ঐ স্থাপনায় অন্য আইডির মাধ্যমে বিদ্যুৎ সংযোগ প্রদান করায় আর্থিক ক্ষতি ৭ ৪৬৮৫ ৩৭৫/- টাকা।</t>
  </si>
  <si>
    <t>7,46,85,375/-</t>
  </si>
  <si>
    <t>25(3)</t>
  </si>
  <si>
    <t>দপ্তরের আইটিটি কুজ-১৪ মোতাবেক তথ্যাদি দাখিল না করা সত্বেও নন-রেসপনসিভ ঠিকাদারকে রেসপনসিভহিসেবে বিবেচনা করে মূল্যায়ন পূর্বক অনিয়মিতভাবে ১৩০৮৪২২/- টাকার চুক্তি সম্পাদন ও কার্যাদেশ প্রদান।</t>
  </si>
  <si>
    <t>9308422/-</t>
  </si>
  <si>
    <t>27(12)</t>
  </si>
  <si>
    <t>বিদ্যুৎ আইন-২০১৮ এর নির্দেশনা অনুযায়ী সংযোগ বিচ্ছিন্ন গ্রাহকের নিকট হতে দীর্ঘদিন যাবৎ বকেয়া আদায় না করায় প্রতিষ্ঠানের আর্থিক ক্ষতি ৩.৫০,২৭,২৪০/-টাকা।</t>
  </si>
  <si>
    <t>3,50,27,240/-</t>
  </si>
  <si>
    <t>37(1)</t>
  </si>
  <si>
    <t>নিখোজ বিভিন্ন শ্রেণীর গ্রাহকের নিকট হতে বিদ্যুৎ বিল বাবদ অনাদায়ী বকেয়া আদায় না করায় প্রষ্ঠিানের আর্থিক ক্ষতি ১.৭১.৬৩.২১৪/-টাকা।</t>
  </si>
  <si>
    <t>1,71,63,214/-</t>
  </si>
  <si>
    <t>41(4)</t>
  </si>
  <si>
    <t>অনিয়মিতভাবে বেসিকের অতিরিক্ত অধিকাল ভাতা প্রদান করায় প্রতিষ্ঠানের আর্থিক ক্ষতি ১৬৯৬০২/- টাকা।</t>
  </si>
  <si>
    <t>169602/-</t>
  </si>
  <si>
    <t>45(2)</t>
  </si>
  <si>
    <t>পিপিআর ২০০৮ এর উপেক্ষা করে জরুরী বা বিশেষায়িত কাজ না হওয়া সত্বেও উন্মুক্ত দরপত্র পদ্ধতি পরিহার করে ঢাকাওভাবে সীমিত দরপত্র পদ্ধতি প্রয়োগের মাধ্যমে অনিয়মিতভাবে ৭৪৮৫৩৯৪/- টাকার চুক্তি সম্পাদন ও কার্য সম্পাদন।</t>
  </si>
  <si>
    <t>7485394/-</t>
  </si>
  <si>
    <t>নির্বাহী প্রকৌশল বিক্রয় ও বিতরণ বিভাগ, বাকুলিয়া, বিউবো,চট্টগ্রাম।</t>
  </si>
  <si>
    <t>গ্রাহক অবৈধভাবে বিদ্যুৎ ব্যবহার করায় বোর্ড এর ১১,৬৬,৪০০/- টাকার ক্ষতির মামলা মাত্র ৪২,৭৪৪/- টাকা আদায় করে পুনঃসংযোগ প্রদান পূর্বক মামলা প্রত্যাহারের সুপারিশ করায় বোর্ড এর ক্ষতি ১১,২৩,৬৫৬/-।</t>
  </si>
  <si>
    <t>অর্থ মন্ত্রণালয়ের অনুমোদন ব্যতীত দপ্তরের কর্মচারীদের অধিকাল ভাতা পরিশোধ করায় সরকারের আর্থিক ক্ষতি।</t>
  </si>
  <si>
    <t>সাইট হতে উদ্ধারপ্রাপ্ত ব্যবহারযোগ্য মালামাল প্রাক্কলনে অন্তর্ভূক্তি ছাড়াই দরপত্র অনুমোদন ও কার্য সম্পাদনের মাধ্যমে ঠিকাদারকে বিল পরিশোধে সরকারের/বোর্ডের ৪৩৭৮৯২২.০০ আর্থিক ক্ষতি।</t>
  </si>
  <si>
    <t>সরকারী নির্ধারিত হার অপেক্ষা কম হারে বাড়ী ভাড়া কর্তন করায় সরকারের আর্থিক ক্ষতি।</t>
  </si>
  <si>
    <t>বিউবো কর্তৃক নির্ধারিত সীমাতিরিক্ত সিস্টেম লস হওয়ায় সরকারের টাঃ ৭,৩৪,৩৫,৮২৯.০০ আর্থিক ক্ষতি।</t>
  </si>
  <si>
    <t>২৮(১১)</t>
  </si>
  <si>
    <t>বিদ্যুৎ আইন-২০১৮ এর নির্দেশনা মোতাবেক বিভিন্ন শ্রেণির গ্রাহকের নিকট হতে বকেয়া বিদ্যুৎ বিল আদায় না করায় প্রতিষ্ঠানের আর্থিক ক্ষতি ১,৬৩,৭৬,৬১৬/- টাকা।</t>
  </si>
  <si>
    <t>১,৬৩,৭৬,৬১৬/-</t>
  </si>
  <si>
    <t>বিভিন্ন শ্রেণীর গ্রাহকের পোস্ট পেইড মিটার পরিবর্তন করে প্রি-পেইড মিটার সংযোগের সময় নির্ধারিত হারে জমাকৃত জামানত ফেরত প্রদান না করায় জনগনের ১,৮৭,০৮,০০০/- টাকা আর্থিক ক্ষতি।</t>
  </si>
  <si>
    <t>১,৮৭,০৮,০০০/-</t>
  </si>
  <si>
    <t>নির্বাহী প্রকৌশলী, বিক্রয় ও বিতরণ বিভাগ,  মোহরা,বিউবো, চট্টগ্রাম</t>
  </si>
  <si>
    <t>২০০৪-২০০৮</t>
  </si>
  <si>
    <t>সঠিক অনুসন্ধানের মাধ্যমে সনাক্ত পূর্বক নিখোঁজ গ্রাহকের নিকট হতে বকেয়া আদায় না করায় ক্ষতি।</t>
  </si>
  <si>
    <t>নির্বাহী প্রকৌশলী, বিতরণ বিভাগ, বিউবো,খাগড়াছড়ি।</t>
  </si>
  <si>
    <t>2013-2015</t>
  </si>
  <si>
    <t>গ্রাহকগণের নিকট হতে দীর্ঘদিনের বকেয়া বিদ্যুৎ বিল আদায় না করায় বিউবোর ২৩,৭৭,৮৩১/- টাকা ক্ষতি।</t>
  </si>
  <si>
    <t>নির্বাহী প্রকৌশলী বিক্রয় ও বিতরন বিভাগ, বিউবো, রাঙ্গামাটি।</t>
  </si>
  <si>
    <t>সীমাতিরিক্ত সিষ্টেম লসের কারনে বোর্ডেও আর্থিক ক্ষতি ৪১,৩০,৫১০/৬০ টাকা।</t>
  </si>
  <si>
    <t xml:space="preserve">বোর্ড কর্তৃক নির্ধারিত সীমার অতিরিক্ত বিদ্যুৎ শক্তি অপচয়ের ফলে ৫৯.৭৭.১৫১/- টাকা বোর্ডেও আর্থিক ক্ষতি </t>
  </si>
  <si>
    <t>নির্ধারিত হারের অতিরিক্ত সিস্টেম লস এর কারনে বোর্ড/সরকারের ক্ষতি ২.১৯.৩৫.১৯৯/- টাকা।</t>
  </si>
  <si>
    <t>ভান্ডাওর রক্ষিত ৩১.৫৭.৬৩৩/- টাকা মূল্যেও অকেজো বৈদ্যুতিক মালামাল সমূহের সার্ভে রিপোর্ট প্রনয়ন সহ নিলামে বিক্রয়ের ব্যবস্থা গ্রহণ না করায় বিউবো'র আর্থিক ক্ষতি</t>
  </si>
  <si>
    <t>2010-2012</t>
  </si>
  <si>
    <t>সংযোগ বিচ্ছিন্ন গ্রাহকের নিকট দীর্ঘদিন যাবত ১৮,৫৭,৬৭৩/- টাকা অনাদায়ী থাকায় স্রের্ডেও আর্থিক ক্ষতি।</t>
  </si>
  <si>
    <t>25(1)</t>
  </si>
  <si>
    <t>বিভিন্ন প্রকার পূর্ত কাজে যোগসাজশের মাধ্যমে ঠিকাদার নির্বাচন করে অনিয়মিতভাবে ৮,৯১,৪৩১/- টাকার কার্যসম্পাদন।</t>
  </si>
  <si>
    <t>8,91,431/-</t>
  </si>
  <si>
    <t>27(6)</t>
  </si>
  <si>
    <t>সংযোগ বিচ্ছিন্ন গ্রাহকদের নিকট হতে দীর্ঘদিন যাবত ২৭(৬) বকেয়া আদায় না করায প্রতিষ্ঠানের আর্থিক ক্ষতি ৪১,০৪.০২৮/- টাকা।</t>
  </si>
  <si>
    <t xml:space="preserve">41,04.028/- </t>
  </si>
  <si>
    <t>28(10)</t>
  </si>
  <si>
    <t>বিভিন্ন শ্রেণীর গ্রাহকদের নিকট হতে বকেয়া বিদ্যুৎ বিল আদায় না করায প্রতিষ্ঠানের আর্থিক ক্ষতি ৫০,৫৪,৬৬৪/-টাকা।</t>
  </si>
  <si>
    <t>50,54,664/</t>
  </si>
  <si>
    <t>একই ধর নের কাজ কে একাধিক প্যা কেজে বিভক্ত করে এলটিএম এর মাধ্য মে সম্পা দন করে অনিয়মিতভা বে ৯৫.৩৭.৫০২/-- টাকার কার্যসম্পাদন।</t>
  </si>
  <si>
    <t>৯৫,৩৭,৫০২</t>
  </si>
  <si>
    <t>নির্বাহী প্রকৌশল বিক্রয় ও বিতরণ বিভাগ, বিউবো,বান্দরবান।</t>
  </si>
  <si>
    <t>দীর্ঘদিন যাবৎ বিদ্যুৎ বিল বাবদ মোট ৮,৪২,৮৩৪/- টাকা বকেয়া।</t>
  </si>
  <si>
    <t>১৯৯৯-২০০১</t>
  </si>
  <si>
    <t>সংযোগ বিচ্ছিন্ন গ্রাহকদের নিকট ১৬,৫৯,৬৩৬/- টাকা অনাদায়ী।</t>
  </si>
  <si>
    <t>উপ-পরিচালক, আহিদ, পিএন্ডডি, বিউবো, চট্টগ্রাম কর্তৃক বিল ভাউচার নিরীক্ষায় উপস্থাপন না করায় ২,২৯,৫৯,৪৮৯.০০ টাকা ব্যয়ের সঠিকতা ও যথার্থতা যাচাই করা যায় নাই।</t>
  </si>
  <si>
    <t>আবাসিক  প্রকৌশলী ,রামগড়, বিদ্যুৎ সরবাহ, বিউবো, খাগরাছড়ি।</t>
  </si>
  <si>
    <t>১৯৯৭-১৯৯৯</t>
  </si>
  <si>
    <t>বোর্ডের অনুমোদিত ১৫% সিস্টেম লসের অতিরিক্ত ৩,২৬,৬৮৯ ইউনিট বিদ্যুৎ শক্তি অপচয়ের ফলে বোর্ডের ৮,১৬,৭২২/- টাকা আর্থিক ক্ষতি।</t>
  </si>
  <si>
    <t>আবাসিক  প্রকৌশলী ,  রামু, বিদ্যুৎ সরবাহ, বিউবো, কক্সবাজার।</t>
  </si>
  <si>
    <t>১৯৯৫-১৯৯৯</t>
  </si>
  <si>
    <t>পল্লী বিদ্যুৎ সমিতির নিকট বিদ্যুৎ বিল বকেয়া বাবদ টাকা ৫৪,৮০,১৪৫/- টাকা আদায় করা হয় নাই।</t>
  </si>
  <si>
    <t>মৃত গ্রাহকের নিকট হইতে বিদ্যুৎ বিল বকেয়া বাবদ ১৫,৯০,৪১৭/- টাকা আদায় হয় নাই। যাহা আদায় যোগ্য।</t>
  </si>
  <si>
    <t>আবাসিক  প্রকৌশলী , লামা, বিদ্যুৎ সরবাহ, বিউবো, কক্সবাজার।</t>
  </si>
  <si>
    <t>১৯৮৭-১৯৯০</t>
  </si>
  <si>
    <t>০১</t>
  </si>
  <si>
    <t>১,০৬,০৭৯ ইউনিট বিদ্যুৎ শক্তির অতিরিক্ত সিস্টেম লস দেখাইয়া ২,১২,৭৫৮ টাকা ক্ষতি সাধন।</t>
  </si>
  <si>
    <t>২,১২,৭৫৮.০০</t>
  </si>
  <si>
    <t>আবাসিক  প্রকৌশলী ,কুতুবদিয়া, বিদ্যুৎ সরবাহ, বিউবো, কক্সবাজার।</t>
  </si>
  <si>
    <t>১৯৮৫-১৯৮৭</t>
  </si>
  <si>
    <t>৩০-০৬-৮৭ তারিখ পর্যন্ত বিভিন্ন শ্রেণীর গ্রাহকদের নিকট রাজস্ব বকেয়া</t>
  </si>
  <si>
    <t>১,৫৪,৬২০.০০</t>
  </si>
  <si>
    <t>১৯৯৮-২০০০</t>
  </si>
  <si>
    <t>০৩</t>
  </si>
  <si>
    <t>সরকারী সংস্থার নিকট বোর্ডের ১৫৫৫১৮ টাকা পাওনা থাকায় সরকারের আর্থিক ক্ষতি।</t>
  </si>
  <si>
    <t>১,৫৫,৫১৮.০০</t>
  </si>
  <si>
    <t>আবাসিক প্রকৌশলী, দোহাজারী বিদ্যুৎ সরবরাহ, বিউবো, চট্টগ্রাম।</t>
  </si>
  <si>
    <t>১৯৯৮-০০</t>
  </si>
  <si>
    <t>পল্লী বিদ্যুৎ সমিতির নিকট হস্তান্তরিত গ্রাহকদের নিকট হইতে বকেয়া বিদ্যুৎ বিল বাবদ ১১,৬২,১১২/- অনাদায়ী।</t>
  </si>
  <si>
    <t>ব্যবস্থাপক, শিকলবাহা কেন্দ্র, বিউবো, চট্টগ্রাম।</t>
  </si>
  <si>
    <t>1992-1994</t>
  </si>
  <si>
    <t>ঠিকাদারের বিল হইতে মূল্য সংযোজন করা হয় নাই</t>
  </si>
  <si>
    <t>ব্যবস্থাপক, কাপ্তাই পানি বিদ্যুৎ কেন্দ্র, বিউবো, কাপ্তাই, রাঙ্গামাটি।</t>
  </si>
  <si>
    <t>1997-2000</t>
  </si>
  <si>
    <t>ইজারা বাবদ অনাদায়ী</t>
  </si>
  <si>
    <t>ব্যবস্থাপক, চট্টগ্রাম বিদ্যুৎ কেন্দ্র, বিউবো,রাউজান,চট্টগ্রাম।</t>
  </si>
  <si>
    <t>জাতীয় রাজ¯ বোর্ডের নির্দেশনা উপেক্ষা করে নির্ধারিত হারে ভ্যাট কর্তন না করায় সরকারের রাজ¯ ক্ষতি।</t>
  </si>
  <si>
    <t>২০১৩-২০১৪</t>
  </si>
  <si>
    <t>শিরোনামঃ আবাসিক গ্যাস বিলের অর্থ বিদ্যুৎ কেন্দ্রের বরাদ্দ হতে পরিশোধ করায় ১৫,০৮,৪০০/-টাকা আর্থিক ক্ষতি।</t>
  </si>
  <si>
    <t>নির্বাহী প্রকৌশলী, আঞ্চলিক পূর্ত নির্মাণ, বিউবো, চট্টগ্রাম।</t>
  </si>
  <si>
    <t>বাজার দর যাচাই ব্যতীত প্রাক্কলন ও প্রাক্কলিত ব্যয় অপেক্ষা বেশী দরে চুক্তি সম্পাদন করায় অনিয়মিত ব্যয় 6,21,306/- টাকা।</t>
  </si>
  <si>
    <t>বিউবোর নিজস্ব আর্থিক ক্ষক্ষমতা অর্পণ-২০১৮ এর নির্দেশনা লংঘন করে স্টোর মালামাল ক্রয়ের ক্ষেত্রে যথাযথ অনুমোদন ব্যতীত অনিয়মিতভাবে ৪৫,৬৬,৭৮২/-(পয়তাল্লিশ লক্ষ ছেষট্টি হাজার সাতশত বিরাশি টাকা) টাকার ক্রয় কার্যসম্পাদন।</t>
  </si>
  <si>
    <t>45,66,782/-</t>
  </si>
  <si>
    <t>31 (3)</t>
  </si>
  <si>
    <t>ঠিকাদারের বিল পরিশোধের ক্ষেত্রে ভ্যাট কম কর্তনের কারনে সরকারের ৬৮,১৮,৬২৯/- (আটশটি লক্ষ আঠারো হাজার ছয়শত উনত্রিশ টাকা) টাকা রাজস্ব ক্ষতি।</t>
  </si>
  <si>
    <t>26, 11, 113/-</t>
  </si>
  <si>
    <t>45 (2)</t>
  </si>
  <si>
    <t>একই ধরনের কাজকে একাধিক প্যাকেজে বিভক্ত করে এলটিএম এর মাধ্যমে সম্পাদন করে অনিয়মিতভাবে ১২,০৩,৯০,৯৯৫/- (বার কোটি তিন লক্ষ নব্বই হাজার নয়শত পঁচানব্বই) টাকার কার্য সম্পাদন। (আঞ্চলিক পূর্ত নির্মাণ বিভাগ, বিউবো, চট্টগ্রাম দপ্তরের)</t>
  </si>
  <si>
    <t>3,54,15,281/-</t>
  </si>
  <si>
    <t>তত্ত্বাবধায়ক প্রকৌশলী, পরিচালন ও সংরক্ষণ সার্কেল, চট্টমেট্টো (পশ্চিম)</t>
  </si>
  <si>
    <t>অর্থ মন্ত্রালয়ের অনুমোদন ব্যতীত দপ্তরের কর্মচারীদেরকে অধিকাল ভাতা পরিশোধ করায় সরকারের আর্থিখ ক্ষতি ৫,৮৭,৫৫৭/- টাকা।</t>
  </si>
  <si>
    <t>নির্বাহী প্রকৌশল বিক্রয় ও বিতরণ বিভাগ, ফৌজদারহাট, বিউবো,চট্টগ্রাম।</t>
  </si>
  <si>
    <t>মেরামত ও সংরক্ষণ কাজে উদ্ধার অপেক্ষা স্থাপন অতিরিক্ত দেখিয়ে বিল পরিশোধ। বোর্ডের ৮,৭৫,২১৭/- টাকা আর্থিক ক্ষতি।</t>
  </si>
  <si>
    <t>মেরামত কাজে পোল উদ্ধার ও স্থাপনের কাজ একই পরিমাণ থাকলেও তার উদ্ধার দেখিয়ে বিল পরিশোধে বোর্ডের ২,৮১,৮১৬/- টাকা আর্থিক^ ক্ষতি হয়েছে।</t>
  </si>
  <si>
    <t>বিভিন্ন প্রকার গ্রাহকের নিকট বিদ্যুৎ বিল বাবদ ১০,১৫,৬০,১২১/- টাকা বকেয়া আদায় করা আবশ্যক।</t>
  </si>
  <si>
    <t>৭০,২০০/- টাকা মূল্যেও তার চুরি বোর্ডেও আর্থিক ক্ষতি।</t>
  </si>
  <si>
    <t>1998-1999</t>
  </si>
  <si>
    <t>২,১০,০০০/- টাকা মূল্যেও ট্রান্সফরমার কয়েল ও এলটি লাইনে এ্যালোমিনিয়াম তার চুরি দায়-দায়িত্ব নির্ধারণ পূর্বক দায়ী ব্যক্তির নিকট হইতে উহার মূল্য সত্ত্বও আদায়যোগ্য।</t>
  </si>
  <si>
    <t>নির্বাহী প্রকৌশল বিক্রয় ও বিতরণ বিভাগ, হাটহাজারী, বিউবো,চট্টগ্রাম।</t>
  </si>
  <si>
    <t>২০০6-২০০৮</t>
  </si>
  <si>
    <t>নিখোঁজ গ্রাহকদের নিকট হইতে বিদ্যুৎ বিল বাবদ ২৫,৬৬,৬২৯/- টাকা আদায় করা হয়নি।</t>
  </si>
  <si>
    <t>নিখোজ গ্রাহক বকেয়া বাবদ ১৯,২৪,০৭0/- টাকা আদায় কল্পে কার্যকরী ব্যবস্থা গ্রহণ করা হয়নি।</t>
  </si>
  <si>
    <t>9 (৪)</t>
  </si>
  <si>
    <t>সেট-আপ বহির্ভূত কর্মকর্তা/কর্মচারীদেও বেতন ভাতাদি পরিশোধে বোর্ডেও আর্থিক ক্ষতি।</t>
  </si>
  <si>
    <t>2013-2018</t>
  </si>
  <si>
    <t>3 (10)</t>
  </si>
  <si>
    <t>বকেয়া গ্রাহকদেরে নিকট হতে বকেয়া বিদ্যুৎ বিল আদায় না করায় বিউবোর রাজস্ব ক্ষতি।</t>
  </si>
  <si>
    <t>28 (4)</t>
  </si>
  <si>
    <t>নির্ধারিত কার্য সম্পাদনে ব্যর্থ ঠিকাদারের নিকট হইতে জরিমানা আদায় না করায় বোর্ডেও আর্থিক ক্ষতি ১০.৩৬,১৩২/- টাকা।</t>
  </si>
  <si>
    <t>39 (1)</t>
  </si>
  <si>
    <t>পিপিআর ২০০৮ এর বিধি লংঘন কওে উর্দ্ধতন কর্তৃপক্ষের অনুমোদন এড়ানোর জন্য অনিয়মিতভাবে একই কাজকে ৫টির অধিক লটে ভিবক্ত কওে দরপত্র আহবান ও চুক্তি সম্পাদন। জড়িত টাকা ২.৭০.২৫.৪৭২/-</t>
  </si>
  <si>
    <t>4 (1)</t>
  </si>
  <si>
    <t>সংযোগ বিচ্ছিন্ন গ্রাহকগণের নিকট হতে বকেয়া বিদ্যুৎ বিল আদায় না করায় বিউবোর ৯.২৪.৬৯২/- টাকা ক্ষতি।</t>
  </si>
  <si>
    <t>নির্বাহী প্রকৌশলী , বিক্রয় ও বিতরণ- চকোরিয়া, বিউবো, কক্সবাজার।</t>
  </si>
  <si>
    <t>বিপুল পরিমাণ টাকা ১১,২১,৪৯২ অনাদায়ী বোর্ড আর্থিক ক্ষতির সম্মুখীন</t>
  </si>
  <si>
    <t>১১,২১,৪৯২.০০</t>
  </si>
  <si>
    <t>নির্বাহী প্রকৌশলী , পিসিপোল নির্মাণ, বিউবো, হালিশহর, চট্টগ্রাম।</t>
  </si>
  <si>
    <t>উৎপাদনকালীন সময়ে নষ্ট/ভাংগা পোলের দায়-দায়িত্ব নির্ধারন না করায় প্রতিষ্ঠানের ক্ষতি ২৬,৩৫,৪৪৭/- টাকা।</t>
  </si>
  <si>
    <t>বাজার দর যাচাই ব্যতীত আনুমানিক হারে আরডিপিপি এবং এপিপি প্রনয়ণ করে দাপ্তরিক প্রাক্কলিত মূল্যের চেয়ে অস্বাভাবিক (সর্বোচ্চ ৭৭%) নিম্নদরে অনিয়মিতভাবে ১৫,১০,১৯,৩০৫/-টাকার কার্যাসম্পাদন।</t>
  </si>
  <si>
    <t>১৫,১০,১৯,৩০৫/-</t>
  </si>
  <si>
    <t>আয়কর অধ্যাদেশ-১৯৮৪ এর নির্দেশনা উপেক্ষা করে নির্ধারিত হারের চেয়ে কম হারে আয়কর কর্তন করায় সরকারের রাজস্ব ক্ষতি ২,৩৬,৭২৩/- টাকা।</t>
  </si>
  <si>
    <t>২,৩৬,৭২৩/-</t>
  </si>
  <si>
    <t>এলডি কমিটি সম্মানি বাবদ অনিয়মিতভাবে ১৬,০০০/- (ষোল হাজার) টাকা পরিশোধে করায় সরকারের আর্থিক ক্ষতি ।</t>
  </si>
  <si>
    <t>১৬,০০০/-</t>
  </si>
  <si>
    <t>উপ-পরিচালক কেন্দ্রীয় ভান্ডার, বিউবো, ফৌজদারহাট চট্টগ্রাম।</t>
  </si>
  <si>
    <t>ক্রয়কৃত এনার্জি মিটার এর মধ্যে ৯৬২৩ টি মিটার অকেজো থাকা সত্ত্বেও তা সরবরাহ কারীকে ফেরত না দিয়ে মূল্য পরিশোধ করায় সরকার/সংস্থার ৬৭,৩৬,১০০/- টাকা ক্ষতি ।</t>
  </si>
  <si>
    <t>৬৭,৩৬,১০০.০০</t>
  </si>
  <si>
    <t>১৯৮৬-১৯৮৭</t>
  </si>
  <si>
    <t>০২</t>
  </si>
  <si>
    <t>বৈদ্যুতিক মালামাল চুরি</t>
  </si>
  <si>
    <t>৪১,৪৩১.০০</t>
  </si>
  <si>
    <t>১৯৮৯-১৯৯০</t>
  </si>
  <si>
    <t>ভান্ডার প্রাঙ্গন হইতে ৫৫,২১০/- টাকা মূল্যের মালামাল চুরি ।</t>
  </si>
  <si>
    <t>৫৫,২১০.০০</t>
  </si>
  <si>
    <t>নির্বাহী প্রকৌশলী বিক্রয় ও বিতরণ বিভাগ,পটিয়া, বিউবো,চট্টগ্রাম</t>
  </si>
  <si>
    <t>১৯৮৭-১৯৮৮</t>
  </si>
  <si>
    <t>৮১৫০০০ টাকা মূল্যের বিভিন্ন বৈদ্যুতিক মালামাল চুরি।</t>
  </si>
  <si>
    <t>৮,১৫,০০০.০০</t>
  </si>
  <si>
    <t>১৯৮৮-১৯৮৯</t>
  </si>
  <si>
    <t>৪,৭৭,০০০/- টাকা মূল্যের বিভিন্ন ধরনের বৈদ্যুৎতিক মালামাল চুরি দায়-দায়িত্ব নিরুপনের কার্যক্রম গৃহীত হয় নাই কোডাল বিধান উপেক্ষিত ।</t>
  </si>
  <si>
    <t>৪,৭৭,০০০.০০</t>
  </si>
  <si>
    <t>চট্টগ্রামস্থ উন্নত / উৎকৃষ্ট মানের বৈদ্যুতিক ক্যাবল উৎপাদনকারী সরকারী প্রতিস্টান ইস্টার্ন ক্যাবল লিঃ হইতে সরাসরি এল টি ক্যাবল সরবরাহ না নিয়া ঠিকাদারি প্রতিস্টানের মাধ্যমে অনিয়মিত ভাবে ইস্টার্ন ক্যাবল এর একটি ক্যাবল জড়িত টাকা ১,৮০,০৩৩</t>
  </si>
  <si>
    <t>১,৮০,০৩৩.০০</t>
  </si>
  <si>
    <t>০৬</t>
  </si>
  <si>
    <t>রাজস্ব সংগ্রহ কারী ব্যাংক সমূহের নিকট ৩,৩২,৬৫৭/- সুদ বাবদ অনাদায়ী। বোর্ডের আর্থিক ক্ষতি।</t>
  </si>
  <si>
    <t>৩,৩২,৬৫৭.০০</t>
  </si>
  <si>
    <t>০৮</t>
  </si>
  <si>
    <t>একক হারের তুলনায় দ্বিগুন হারে অধিকাল বিল কর্মচারীগনকে পরিশোধ বোর্ডের ৫,১০,১১১/- টাকা ক্ষতি।</t>
  </si>
  <si>
    <t>৫,১০,১১১.০০</t>
  </si>
  <si>
    <t>২০০১-২০০২</t>
  </si>
  <si>
    <t>বিভিন্ন শ্রেনীর গ্রাহকের নিকট বিদ্যুৎ বিল অনাদায়ী</t>
  </si>
  <si>
    <t>৯,৪৪,০৮,৫৬৩.০০</t>
  </si>
  <si>
    <t>২০০৩-২০০৪</t>
  </si>
  <si>
    <t>০৫</t>
  </si>
  <si>
    <t>পল্লী বিদ্যুৎ সমিতিতে হস্তান্তরিত গ্রাহক বকেয়া</t>
  </si>
  <si>
    <t>৯,৯২,৬২,৭৪৯.০০</t>
  </si>
  <si>
    <t>বিভিন্ন শ্রেণীর গ্রাহকের নিকট হতে বকেয়া বিদ্যুৎ বিল আদায় না করায় প্রতিষ্ঠানের আর্থিক ক্ষতি ৭৯৫৫৬৯১.০০(উনআশি লক্ষ পঞ্চান্ন হাজার ছয়শত একানব্বই টাকা) টাকা।</t>
  </si>
  <si>
    <t>নিখোঁজ বিভিন্ন শ্রেণীর গ্রাহকের নিকট হতে বিদ্যুৎ বিল বাবদ অনাদায়ী বকেয়া আদায় না করায় প্রতিষ্ঠানের আর্থিক ক্ষতি ২২৮৪৯২১/-(বাইশ লক্ষ চুরাশি হাজার নয়শত একুশ)টাকা।</t>
  </si>
  <si>
    <t>২২৮৪৯২১/-</t>
  </si>
  <si>
    <t xml:space="preserve">প্রকল্প পরিচালক, তিন প্রার্বত্য বিদ্যুৎ বিতরণ উন্নয়ন প্রকল্প, বিউবো,রাঙ্গামাটি। </t>
  </si>
  <si>
    <t>২০১১-২০১৪</t>
  </si>
  <si>
    <t>গাড়ী ক্রয়ের পূর্বে জ্বালানী তেল বাবদ অনিয়মিতভাবে ৭,১১,৬৬৭/- টাকা পরিশোধ।</t>
  </si>
  <si>
    <t>1988-1994</t>
  </si>
  <si>
    <t>ভান্ডার হইতে ১৪,৭৭,৩৫৬/- টাকা মূল্যেও বিভিন্ন প্রকার মালামাল ও যন্ত্রাংশ চুরি বোর্ডেও আর্থিক ক্ষতি।</t>
  </si>
  <si>
    <t>1996-2000</t>
  </si>
  <si>
    <t>ঠিকাদারের বিল হতে ভ্যাট বাবদ ৭১০০৯৬ টাকা কম কর্তন।</t>
  </si>
  <si>
    <t>মেসার্স সৈয়দ আহম্মদ এন্ড সন্স হইতে ১,৪৮,০৮৪/- টাকা আদায় করা হয় নাই, উক্ত টাকা সত্ত্বও আদায়যোগ্য।</t>
  </si>
  <si>
    <t>4(6)</t>
  </si>
  <si>
    <t>যথাসময়ে কার্যসম্পাদনে ব্যর্থ ঠিকাদারের নিকট হতে চুক্তির শর্ত মোতাবেক জরিমানা আদায় না করায় ২৯.৩৬,৯৮,১৭৭/- টাকার রাজস্ব ক্ষতি।</t>
  </si>
  <si>
    <t xml:space="preserve">৭,৩৯,৮৫,১৫৬/- </t>
  </si>
  <si>
    <t>24(2)</t>
  </si>
  <si>
    <t>বিভিন্ন চুক্তির মাধ্যমে প্রয়োজনে অতিরিক্ত মালামল ক্রয় পূর্বক ষ্টোরে মজুদ রেখে ব্যবহার না করায় মালামালের মূল্য বাবদ প্রতিষ্ঠানের ৫১.৬৪,৭৯,১৩৮/-(একান্ন কোটি চৌষট্টি লক্ষ ঊনআশি হাজার একশত আটত্রিশ) টাকা অপচয়।</t>
  </si>
  <si>
    <t xml:space="preserve">৩,৫৮,৩১,১০৫/- </t>
  </si>
  <si>
    <t>40(1)</t>
  </si>
  <si>
    <t>এলডি কমিটির সম্মানী বাবদ অনিয়মিতভাবে ৭.৫৭,০০০/-(সাত লক্ষ সাতান্ন হাজার টাকা) টাকা পরিশোধ করায় প্রতিষ্ঠানের আর্থিক ক্ষতি।</t>
  </si>
  <si>
    <t>7,57,000/-</t>
  </si>
  <si>
    <t>প্রকল্প পরিচালক, বিদ্যুৎ বিতরণ ব্যবস্থা উন্নয়ন প্রকল্প,বিউবো, চট্টগ্রাম।</t>
  </si>
  <si>
    <t>11(2)</t>
  </si>
  <si>
    <t>যথাসময়ে কার্যসম্পাদানে ব্যর্থ ঠিকাদারের বর্ধিত সময় অনুমোদন ও জড়িমানা বাবদ ৮৬,৪০,৮৫৪/- টাকা আরোপ/আদায় ছাড়াই চুড়ান্ত বিল পরিশোধ করা হয়েছে।</t>
  </si>
  <si>
    <t xml:space="preserve"> 67,86,000/- </t>
  </si>
  <si>
    <t>পিপিআর-২০০৮ এর বিধি লংঘন কণ্ডে মূল চুক্তি মূল্যেও ১৫% এর অধিক ভেরিয়েশন অর্ডার জারী করে কার্যসম্পাদন করায় অনিয়মিত ব্যয় ১০,৪৮,২৬,০৩৩/-টাকা।</t>
  </si>
  <si>
    <t>10,48,26,033/-</t>
  </si>
  <si>
    <t>পিপিআর-২০০৮ লংঘন করে ক্রয়কারী কর্তৃক প্রত্যাশিত কার্য সমাপ্তির সময় ২০% এর অধিক বৃদ্ধি কওে অনিয়মিত ব্যয় ৫,৫১,৩২,৫৫০/- টাকা।</t>
  </si>
  <si>
    <t xml:space="preserve">5,51,32,550/- </t>
  </si>
  <si>
    <t>40(3)</t>
  </si>
  <si>
    <t>এলডি কমিটি সম্মানি বাবদ অনিয়মিতভাবে ২,২৪,০০০/- টাকা পরিশোধে সরকারের আর্থিক ক্ষতি।</t>
  </si>
  <si>
    <t>2,24,000/-</t>
  </si>
  <si>
    <t>প্রকল্প পরিচালক, বিদ্যুৎ বিতরণ ব্যবস্থা উন্নয়ন প্রকল্প( ফেজ-২),বিউবো, চট্টগ্রাম।</t>
  </si>
  <si>
    <t>1(5)</t>
  </si>
  <si>
    <t>পিপিআর-২০০৮এর বিধি লংঘন করে অস্বাভাবিক নিম্ন দরে ২১৯.৫৭.১৮,২৪৮/- টাকার কার্যাদেশ প্রদান।</t>
  </si>
  <si>
    <t>46,87,25,055/-</t>
  </si>
  <si>
    <t>5(2)</t>
  </si>
  <si>
    <t>বিউরোর নিজস্ব পিসিপোল কারখানা হতে পোল ক্রয় না করে এবং কারখানা হতে অপারগতা সনদ গ্রহণ ব্যতিত বাহিরের বিভিন্ন ঠিকাদারি প্রতিষ্ঠানের নিকট হতে এসপিসি পোল ক্রয় করায় পিসি পোলের নির্ধারিত মূল্যের চেয়ে অতিরিক্ত মূল্য পরিশোধে আর্থিক ক্ষতি ১৩,৭৭,০২,১৩/-টাকা।</t>
  </si>
  <si>
    <t>4,64,04,929/-</t>
  </si>
  <si>
    <t>ডিপিপির ক্রয় পরিকল্পনায় এসিএসআর গ্রসবিক কন্ডাক্টার এর প্রাক্কলিত ব্যয়/মূল্য বাজার দর অপেক্ষা অস্বাভাবিক উর্দ্ধ দরে নির্ধারণ এবং পিপিআর-২০০৮ এর বিধি ১৬ (৫)(৫ক) লংঘন করার কারনে সরকার/ বোর্ডের ১,৩৪,৫৩,১৫২/-টাকা ক্ষতি।</t>
  </si>
  <si>
    <t>1,34,56,248/-</t>
  </si>
  <si>
    <t>01(4)</t>
  </si>
  <si>
    <t>যথাসময়ে কার্যসম্পাদনে ব্যর্থ ঠিকাদারের নিকট হতে চুক্তির শর্ত মোতাবেক জরিমানা আদায় না করায় ২,৭৩,৪৬,৬৪৩/- টাকা ক্ষতি।</t>
  </si>
  <si>
    <t xml:space="preserve"> 2,73,46,643/-</t>
  </si>
  <si>
    <t>একই প্যাকেজের একই আইটেম ০৫ টি লটে বিভক্ত কতে একই সময়ে একই ঠিকাদারের সাথে ভিন্ন মূল্যে চুক্তি সম্পাদন কওে বিল পরিশোধ করায় প্রতিষ্ঠানের আর্থিক ক্ষতি ৪০,০০,০০০/- টাকা।</t>
  </si>
  <si>
    <t xml:space="preserve"> 40,00,000/- </t>
  </si>
  <si>
    <t>42(3)</t>
  </si>
  <si>
    <t>বাজারদর যাচাই ব্যাতিত ডিপিপি প্রণয়ন এবং ডিপিপি দরকে দাপ্তরিক প্রাক্কলিত মূল্য ধতে প্রাক্কলন প্রস্তুত কওে প্রাক্কলিত দও অপেক্ষা উদ্ধ ধতে চুক্তি সম্পাদন করায় অতিরিক্ত ব্যয় ৩,১৬,৬৭,৫০৯/- টাকা।</t>
  </si>
  <si>
    <t xml:space="preserve"> 3,16,67,509/</t>
  </si>
  <si>
    <t>সরকারী ক্রয় সংক্রান্ত মন্ত্রিসভা কমিটির (সিসিজিপি) অনুমোদন ব্যতীত এসপিসি পোল, কন্ডাক্টর এবং ট্রান্সফরমার ক্রয় কাজে অনিয়মিতভাবে 360,43,33,605/- (তিনশতষাট কোটি তেতাল্লিশ লক্ষ তেতত্রিশ হাজার ছয়শত পাঁচ) টাকার কায©সম্পাদন।</t>
  </si>
  <si>
    <t>360,43,33,605/-</t>
  </si>
  <si>
    <t>মন্ত্রনালয়ের নির্দেশনা উপেক্ষা করে সরবরাহে সক্ষমতা থাকা সত্ত্বেও সরকারি প্রতিষ্ঠান থেকে ট্রান্সফরমার  ক্রয় না করে বাহিরের কোম্পনি থেকে অনিয়মিতভাবে 39,25,14,000/- (ঊনচল্লিশ কোটি পঁচিশ লক্ষ চৌদ্দ হাজার টাকা) টাকার ক্রয় কার্য সম্পাদন।</t>
  </si>
  <si>
    <t>39,25,14,000/-</t>
  </si>
  <si>
    <t xml:space="preserve">ডিপিপি এর নির্দেশনা উপেক্ষা করে বেসরকারী সরবরাহকারীর নিকট হতে পিসি পোল ক্রয় করায় প্রতিষ্ঠানের আর্থিক ক্ষতি 19,58,37,517/- (ঊনিশ কোটি আটান্ন লক্ষ সাইত্রিশ হাজার পাঁচশত সতের) টাকা। </t>
  </si>
  <si>
    <t>19,58,37,517/-</t>
  </si>
  <si>
    <t>যথাসময়ে কার্য সম্পাদনে ব্যর্থ ঠিকাদারের নিকট হতে বিলম্ব জরিমানা (এলডি) আদায় না করায় প্রতিষ্ঠানের আর্থিক ক্ষতি 7,06,39,865/- (সাত কোটি ছয় লক্ষ ঊনচল্লিশ হাজার আটশত পঁয়ষুট্টি) টাকা।</t>
  </si>
  <si>
    <t>7,06,39,865/-</t>
  </si>
  <si>
    <t>পিপিআ 2008 লঙ্ঘন করে নিজের আর্থিক সীমার মধ্যে রেখে একই ধরনের কাজকে বিভিন্ন ভাগে বিভক্ত করে একই সময়ে একই ঠিকাদাকে নিয়ে চুক্তি সম্পাদনের মাধ্যমে অনিয়মিতভাবে 21,44,49,465/- টাকার কার্যসম্পাদন।</t>
  </si>
  <si>
    <t>21,44,49,465/-</t>
  </si>
  <si>
    <t>নির্বাহী প্রকৌশলী, স্ক্যডা পরিচালন বিভাগ, বিউবো-খুলশী, চট্টগ্রাম।</t>
  </si>
  <si>
    <t>2016-2017</t>
  </si>
  <si>
    <t>অর্থ মন্ত্রণালয়ের অনুমোদন ব্যতিত অধিকাল ভাতা পরিশোধ করায় সরকারের আর্থিক ক্ষতি ৭,৬৫,২০৪/- টাকা।</t>
  </si>
  <si>
    <t>2022-2023</t>
  </si>
  <si>
    <t>2(3)</t>
  </si>
  <si>
    <t>চুক্তিপত্রের শর্তানুযায়ী অভিজ্ঞতা না থাকা সত্ত্বেও ঠিকাদারকে রেসপনসিভ হিসেবে বিবেচনা করে মূল্যায়নপূর্বক অনিয়মিতভাবে ৭২,৪১,১০,১৬১/-(বাহাত্তর কোটি একচল্লিশ লক্ষ দশ হাজার একশত একষট্টি) টাকার চুক্তি সম্পাদন।</t>
  </si>
  <si>
    <t>11,46,494/-</t>
  </si>
  <si>
    <t>আদর্শ দরপত্র দলিল মোতাবেক দরপত্র দলিল প্রণয়ন ব্যতিত অনিয়মিত ভাবে ৩,৯৭,৭৩,৩৬৩/-তিন কোটি সাতানব্বই লক্ষ তেয়াত্তর হাজার তিনশত তেষট্টি) টাকার চুক্তি সম্পাদন।</t>
  </si>
  <si>
    <t>৩,৯৭,৭৩,৩৬৩/</t>
  </si>
  <si>
    <t>7(3)</t>
  </si>
  <si>
    <t>অভিজ্ঞতা ও যথাযথ ডক্যুমেন্ট দাখিল না করা সত্ত্বেও ঠিকাদারকে রেসপনসিভ হিসেবে বিবেচনা করে মূল্যায়ন পূর্বক অনিয়মিতভাবে ৩৫,৩২,৬৪,৯০২/-(পয়ত্রিশ কোটি বত্রিশ লক্ষ চৌষট্টি হাজার নয়শত দুই) টাকার চুক্তিসম্পাদন।</t>
  </si>
  <si>
    <t>4,19,17,231/-</t>
  </si>
  <si>
    <t>12 (10)</t>
  </si>
  <si>
    <t>প্রি-পেইড মিটার প্রতিস্থাপনের সময় গ্রাহকের নিকট হতে পূর্বের বকেয়া আদায় না করায় প্রতিষ্ঠানের আর্থিক ক্ষতি ৪,৬৩,৪২,৮৫৯/-(চার কোটি তেষট্টি লক্ষ বিয়াল্লিশ হাজার আটশত ঊনষাট) টাকা।</t>
  </si>
  <si>
    <t>1,08,55,376/-</t>
  </si>
  <si>
    <t>13 (6)</t>
  </si>
  <si>
    <t>নিখোঁজ গ্রাহকের নিকট হতে বিদ্যুৎ বিল বাবদ বকেয়া আদায় না করায় প্রতিষ্ঠানের আর্থিক ক্ষতি ৪,৪৯,৫১,৬৪১ (চার চোটি উনপঞ্চাশ লক্ষ একান্ন হাজার ছয়শত একচল্লিশ) টাকা।</t>
  </si>
  <si>
    <t>1,35,58,806/-</t>
  </si>
  <si>
    <t>29 (8)</t>
  </si>
  <si>
    <t>সাধারণ ভবিষ্য তহবিল বিধিমালা লংঘন করে জিপিএফ হতে উত্তোলিত অগ্রিম বাবদ ১,২৯,৯৫,০০০ (এক কোটি উনত্রিশ লক্ষ পঁচানব্বই হাজার) টাকা জামা প্রদান।</t>
  </si>
  <si>
    <t>16,00,000/-</t>
  </si>
  <si>
    <t>51 (6)</t>
  </si>
  <si>
    <t>মন্ত্রণালয়ের নির্দেশনা উপেক্ষা করে সোলার প্যানেল স্থাপন না করা সত্ত্বেও অনিয়মিতভাবে এইচটি/এমটি শ্রেণির গ্রাহকের সংযোগ প্রদান।</t>
  </si>
  <si>
    <t>2(4)</t>
  </si>
  <si>
    <t>4,22,06,552/-</t>
  </si>
  <si>
    <t>ক্রয় অনুমোদনকারী কর্তৃপক্ষের অনুমোদন ব্যতিরেখে অনিয়মিতভাবে কার্যাদেশ প্রদান ৪০,৪৩,৯৯,৮০০ (চল্লিশ কোটি তেতাল্লিশ লক্ষ নিরানব্বই হাজার আটশত) টাকা।</t>
  </si>
  <si>
    <t>৪০,৪৩,৯৯,৮০০/-</t>
  </si>
  <si>
    <t>29 (10)</t>
  </si>
  <si>
    <t>7,10,000/-</t>
  </si>
  <si>
    <t>নাম সর্বস্ব বেসরকারি প্রতিষ্ঠানের অভিজ্ঞতা সনদের ভিত্তিতে ঠিকাদারকে রেসপনসিভ হিসেবে বিবেচনা করে মূল্যায়নপূর্বক অনিয়মিতভাবে চুক্তিসম্পাদন ৭,৭৪,৪৪,৬১৪ (সাত কোটি চুয়াত্তর লক্ষ চুয়াল্লিশ হাজার ছয়শত চৌদ্দ) টাকা।</t>
  </si>
  <si>
    <t>৭,৭৪,৪৪,৬১৪/-</t>
  </si>
  <si>
    <t>7(2)</t>
  </si>
  <si>
    <t>7,88,75,953/-</t>
  </si>
  <si>
    <t>28 (3)</t>
  </si>
  <si>
    <t>নির্ধারিত হারের চেয়ে কম হারে আয়কর কর্তন করায় সরকারের রাজস্ব ক্ষতি ২৭,৬১,৯০৭ ( সাতাশ লক্ষ একষট্টি হাজার নয়শত সাত) টাকা।</t>
  </si>
  <si>
    <t>7,54,376/-</t>
  </si>
  <si>
    <t>31 (1)</t>
  </si>
  <si>
    <t>ঠিকাদার বিল পরিশোধের ক্ষেত্রে ভ্যাট কম কর্তনের কারনে সরকারের রাজস্ব ক্ষতি ৬,১০,৫০৫ (ছয় লক্ষ দশ হাজার পাঁচশত পাঁচ) টাকা।</t>
  </si>
  <si>
    <t>4,74,514/-</t>
  </si>
  <si>
    <t>7(4)</t>
  </si>
  <si>
    <t>2,87,65,498/-</t>
  </si>
  <si>
    <t>রেসপনসিভ ঠিকাদারকে নন রেসপনসিভ হিসাবে মূল্যায়নপূর্বক অনিয়মিতভাবে ৪,৩৩,০৩,৮৩৩/-(চার কোটি তেত্রিশ লক্ষ তিন হাজার আটশত তেত্রিশ) কার চুক্তিসম্পাদন।</t>
  </si>
  <si>
    <t>৪,৩৩,০৩,৮৩৩/-</t>
  </si>
  <si>
    <t>13 (4)</t>
  </si>
  <si>
    <t>31,79,552/-</t>
  </si>
  <si>
    <t>26 (2)</t>
  </si>
  <si>
    <t>স্ট্যান্ডার্ড টেন্ডার ডক্যুমেন্ট মোতাবেক সুনির্দিষ্ট ফাইনান্সিয়াল ক্রাইটেরিয়া সংক্রান্ত তথ্যাদি দাখিল না করা সত্বেও ঠিকাদারকে রেসপনসিভ হিসেবে বিবেচনা করে মূল্যায়নপূর্বক অনিয়মিতভাবে ১,৬২,১৬,৬৬৬/-(এক কোটি বাষট্টি লক্ষ ছিয়ানব্বই হাজার ছয়শত ছেষট্টি) চুক্তিসম্পাদন ও কার্যাদেশ প্রদান।</t>
  </si>
  <si>
    <t>1,08,06,357/-</t>
  </si>
  <si>
    <t>29 (9)</t>
  </si>
  <si>
    <t>16,20,000/-</t>
  </si>
  <si>
    <t>30 (5)</t>
  </si>
  <si>
    <t>বিধি বির্হভূতভাবে ছুটি নগদায়ন বিল পরিশোধ করায় সংস্থার আর্থিক ক্ষতি ৫,৩১,৮৬৫ (পাঁচলক্ষ একত্রিশ হাজার আটশত পঁয়ষট্টি) টাকা।</t>
  </si>
  <si>
    <t>41,740/-</t>
  </si>
  <si>
    <t>51 (7)</t>
  </si>
  <si>
    <t>12 (9)</t>
  </si>
  <si>
    <t>3,05,45,637/-</t>
  </si>
  <si>
    <t>29 (5)</t>
  </si>
  <si>
    <t>15,90,000/-</t>
  </si>
  <si>
    <t>13 (5)</t>
  </si>
  <si>
    <t>2,22,26,787/-</t>
  </si>
  <si>
    <t>26 (1)</t>
  </si>
  <si>
    <t>54,90,209/-</t>
  </si>
  <si>
    <t>29 (6)</t>
  </si>
  <si>
    <t>9,85,000/-</t>
  </si>
  <si>
    <t>51 (5)</t>
  </si>
  <si>
    <t>সুনির্দিষ্ট কারন ছাড়াই মালামাল অপচয় দেখিয়ে ৪৬,৩৮,৭৪৯ (ছেচল্লিশ লক্ষ আটত্রিশ হাজার সাতশত উনপঞ্চাশ) টাকা আত্মসাৎ।</t>
  </si>
  <si>
    <t>৪৬,৩৮,৭৪৯/-</t>
  </si>
  <si>
    <t>আর্দশ দরপত্র দলিলের শর্ত পরিবর্তন করে পছন্দের ঠিকাদারকে কাজ দেওয়ায় ২,৬১,২৮,৬০৭ (দুই কোটি একষট্টি লক্ষ আটাশ হাজার ছয়শত সাত) টাকার চুক্তিসম্পাদন।</t>
  </si>
  <si>
    <t>২,৬১,২৮,৬০৭/-</t>
  </si>
  <si>
    <t>28 (1)</t>
  </si>
  <si>
    <t>নির্ধারিত হারের চেয়ে কম হারে আয়কর কর্তন করায় সরকারের রাজস্ব ক্ষতি 16,26,531/- টাকা।</t>
  </si>
  <si>
    <t>16,26,531/-</t>
  </si>
  <si>
    <t>44(3)</t>
  </si>
  <si>
    <t>গাড়ী মেরামতে অর্থ মন্ত্রণালয়ে আর্থিক ক্ষমতা অর্পণ বিধি লংঘন করে অনিয়মিত ব্যয় ১০,৬৯,১৪০ (দশ লক্ষ উনসত্তর হাজার একশত চল্লিশ) টাকা।</t>
  </si>
  <si>
    <t>4,94,700/-</t>
  </si>
  <si>
    <t>অর্থ বিভাগের ব্যয় সংকোচনের নির্দেশনা লঙ্ঘন করে নির্ধারিত ব্যয়সীমার অতিরিক্ত অনিয়মিত ব্যয় ১,৩৫,৬১,৪৭৭ (এক কোটি পঁয়ত্রিশ লক্ষ একষট্টি হাজার চারশত সাতাত্তর) টাকা।</t>
  </si>
  <si>
    <t>১,৩৫,৬১,৪৭৭/-</t>
  </si>
  <si>
    <t>29 (1)</t>
  </si>
  <si>
    <t>6,80,000/-</t>
  </si>
  <si>
    <t>39(1)</t>
  </si>
  <si>
    <t>আর্থিক ক্ষমতা লংঘনপূর্বক চুক্তি সম্পাদন ও কার্যাদেশ প্রদান করায় অনিয়মিতভাবে ব্যয় ১,০৩,৭৩,৯৫০ (এক কোটি তিন লক্ষ তিয়াত্তর হাজার নয়শত পঞ্চাশ) টাকা।</t>
  </si>
  <si>
    <t>72,98,950/-</t>
  </si>
  <si>
    <t>51 (3)</t>
  </si>
  <si>
    <t>29 (3)</t>
  </si>
  <si>
    <t>2,50,000/-</t>
  </si>
  <si>
    <t>39(2)</t>
  </si>
  <si>
    <t>30,75,000/-</t>
  </si>
  <si>
    <t>40(15)</t>
  </si>
  <si>
    <t>বিভিন্ন শ্রেণির গ্রাহকের নিকট হতে বকেয়া বিদ্যুৎ বিল আদায় না করায় প্রতিষ্ঠানের আর্থিক ক্ষতি ১৯,১৯,৭৩,০৩৬ (উনিশ কোটি উনিশ লক্ষ তিয়াত্তর হাজার ছত্রিশ) টাকা।</t>
  </si>
  <si>
    <t>6,58,277/-</t>
  </si>
  <si>
    <t>দরপত্র মূল্যায়ন ছাড়াই ঠিকাদার নির্বাচন ও কার্যাদেশ প্রদানপূর্বক ৬,৯১,৫৫৪ (হয় লক্ষ একানব্বই হাজার পাঁচশত চুয়ান্ন) টাকা অনিয়মিতভাবে পরিশোধের মাধ্যমে সরকারী অর্থের অপচয় করা হয়েছে।</t>
  </si>
  <si>
    <t>৬,৯১,৫৫৪/-</t>
  </si>
  <si>
    <t>বাবিউবো সদস্য এর অধীনস্থ দপ্তর সমূহের জন্য প্রণীত জব ডেসক্রিপশন এর পরীপন্থীভাবে এলটিসি এলটিএ এ গ্রাহকগনের বিদ্যুৎ সংযোগের অনুমোদন সংযোগ বিচ্ছিন্নকরান ও পুন:সংযোগ সংক্রান্ত তথ্যাদি /খেলাপী গ্রাহকের পুন;সংযোগ সংক্রান্ত ইত্যাদির ক্ষেত্রে হিসাব শাখার প্রত্যয়ন ব্যতিত সংযোগ ও অনিয়মিতভাবে ঠিকাদারী বিল সমূহ পরিশোধ।</t>
  </si>
  <si>
    <t>3.4.1</t>
  </si>
  <si>
    <t>ঠিকাদারী বিলে ভ্যাট কম কর্তন করায় সরকারের রাজস্ব ক্ষতি ৪৩৮,৩৭৮.০০ (চার লক্ষ আটত্রিশ হাজার তিনশত আটাত্তর) টাকা।</t>
  </si>
  <si>
    <t>৪,৩৮,৩৭৮/-</t>
  </si>
  <si>
    <t>3.4.2</t>
  </si>
  <si>
    <t>অনিয়মিতভাবে দ্বিগুণহারে অধিকাল ভাতা প্রদান করায় প্রতিষ্ঠানের আর্থিক ক্ষতি ১৪,৬৬,৯০০.০০ (চৌদ্দ লক্ষ ছেষট্টি হাজার নয়শত) টাকা।</t>
  </si>
  <si>
    <t>১৪,৬৬,৯০০/-</t>
  </si>
  <si>
    <t>বিভিন্ন শ্রেণির গ্রাহকগণের নিকট হতে বকেয়া বিদ্যুৎ বিল আদায় না করায় বোর্ডের ৩১,৯৯,৩৩২/- টাকার আর্থিক ক্ষতি</t>
  </si>
  <si>
    <t>৩১,৯৯,৩৩২/-</t>
  </si>
  <si>
    <t>2009-2012</t>
  </si>
  <si>
    <t>২০১১-১২ অর্থ বছরের অগ্নি নির্বাপক যন্ত্র সার্ভিসিং ও রিফিলিং কাজে বোর্ডেও ক্ষতি ৯৯,৬৫০/- টাকা।</t>
  </si>
  <si>
    <t>পিপিআর-২০০৮ লংঘন কওে একই ধরনের কাজকে ভিন্ন ভিন্ন প্যাকেজে একই সময়ে চুক্তি সম্পাদন করায় অনিয়মিত ব্যয় ১,৫২,৫৪,৯৪৩/- টাকা।</t>
  </si>
  <si>
    <t>২০২৩-২০২৪</t>
  </si>
  <si>
    <t>১৬(৫)</t>
  </si>
  <si>
    <t>নিখোঁজ গ্রাহকের নিকট হতে বিদ্যুৎ বিল বাবদ বকেয়া আদায় না করায় প্রতিষ্ঠানের আর্থিক ক্ষতি ৪,৩২,২৮৩/- টাকা।</t>
  </si>
  <si>
    <t xml:space="preserve"> ৪,৩২,২৮৩/</t>
  </si>
  <si>
    <t>১৮(১৯)</t>
  </si>
  <si>
    <t>বিভিন্ন শ্রেণির গ্রাহকের নিকট হতে বকেয়া বিদ্যুৎ বিল আদায় না করায় প্রতিষ্ঠানের আর্থিক ক্ষতি ৬৬,৬৪,০৬৩/- টাকা।</t>
  </si>
  <si>
    <t>৬৬,৬৪,০৬৩/-</t>
  </si>
  <si>
    <t>৫৮(৪)</t>
  </si>
  <si>
    <t>পোস্ট পেইড মিটার পরিবর্তন করে গ্রাহকের প্রি-পেইড মিটার সংযোগ প্রদানের সময় জমাকৃত নিরাপত্তা জামানত বাবদ ৩৫,৫১,৮৩৮/- টাকা ফেরত প্রদান করা হয়নি।</t>
  </si>
  <si>
    <t>৩৫,৫১,৮৩৮/-</t>
  </si>
  <si>
    <t>৬৫(৬)</t>
  </si>
  <si>
    <t>মন্ত্রণালয়ের নির্দেশনা উপেক্ষা করে বিদ্যুতের সরবরাহ পয়েন্টের গড় পাওয়ার ফ্যাক্টর (পিএফ) নির্ধারিত সীমার (০.৭৫) নিচে থাকা সত্ত্বেও গ্রাহকের বৈদ্যুতিক সংযোগ বিচ্ছিন্ন করা হয়নি।</t>
  </si>
  <si>
    <t>ডিপিপি এর নির্দেশনা অমান্য করে বিউবোর নিজস্ব উৎপাদন সক্ষমতা থাকা সত্বেও অতিরিক্ত মূল্যে বিভিন্ন বেসরকারি সরবরাহকারীর নিকট হতে পিসি পোল ক্রয় করায় প্রতিষ্ঠানের আর্থিক ক্ষতি ২,৯৯,৮৫,৯৬৬ (দুই কোটি নিরানব্বই লক্ষ পঁচাশি হাজার নয়শত ছেষট্টি) টাকা।</t>
  </si>
  <si>
    <t>২,৯৯,৮৫,৯৬৬/-</t>
  </si>
  <si>
    <t>৩২(২)</t>
  </si>
  <si>
    <t>এলডি কমিটির সম্মানী প্রাপ্যতা না থাকা সত্বেও পরিশোধ করায় ২,০৪,০০০/- টাকা প্রতিষ্ঠানের আর্থিক ক্ষতি।</t>
  </si>
  <si>
    <t>২,০৪,০০০/-</t>
  </si>
  <si>
    <t>৩৩(২০)</t>
  </si>
  <si>
    <t>দরপত্রে কার্যকর প্রতিযোগীতা না হওয়া সত্ত্বেও দরপত্র বাতিল না করে অনিয়মিতভাবে ঠিকাদার/সরবরাহকারীর সাথে চুক্তি সম্পাদন করায় ১,২৬,০২,৩৫৭/- টাকা আর্থিক ক্ষতি</t>
  </si>
  <si>
    <t>১,২৬,০২,৩৫৭/-</t>
  </si>
  <si>
    <t>প্রয়োজন ব্যতিত প্রকল্পে মোটর সাইকেল ক্রয়ে অপচয় ১০,১৩,৪০০ (দশ লক্ষ তেরো হাজির চারশত) টাকা।</t>
  </si>
  <si>
    <t>১০,১৩,৪০০/-</t>
  </si>
  <si>
    <t>চুক্তি সম্পাদনের নির্ধারিত সময়ের পরে সরবরাহকারীর সাথে অনিয়মিতভাবে ১৫,৭৮,০০,০০০ (পনের কোটি আটাত্তর লক্ষ) টাকার চুক্তি সম্পাদন।</t>
  </si>
  <si>
    <t>১৫,৭৮,০০,০০০/-</t>
  </si>
  <si>
    <t>৪৫(৪)</t>
  </si>
  <si>
    <t>উর্ধ্বতন কর্তৃপক্ষের অনুমোদনের বাধ্যবাধকতা এড়ানোর উদ্দেশ্যে একই ধরণের মালামাল একাধিক খন্ডের মাধ্যমে চুক্তি সম্পাদনে ১৮,৮৮,১১৪/- টাকা অনিয়মিত ব্যয়।</t>
  </si>
  <si>
    <t>১৮,৮৮,১১৪/</t>
  </si>
  <si>
    <t>৪৬(৩)</t>
  </si>
  <si>
    <t>দরপত্র প্রণয়নে এসটিডি'র নির্ধারিত হার অপেক্ষা অতিরিক্ত হারে বার্ষিক টার্ণওভার নির্ধারণ করে চুক্তি সম্পাদনের মাধ্যমে অনিয়মিত ব্যয় ৩,৫১,৫৮,৫১৬/- টাকা।</t>
  </si>
  <si>
    <t>৩,৫১,৫৮,৫১৬/</t>
  </si>
  <si>
    <t>স্ট্যান্ডার্ড টেন্ডার ডকুমেন্ট মোতাবেক সুনির্দিষ্ট ফাইনান্সিয়াল ক্রাইটেরিয়া সংক্রান্ত তথ্যাদি দাখিল না করা সত্বেও ঠিকাদারকে রেসপনসিভ হিসেবে বিবেচনা করে মূল্যায়নপূর্বক অনিয়মিতভাবে ২,১০,৮৫,৫৫৭/- (দুই কোটি দশ লক্ষ পচাশি হাজার পাচঁশত সাতান্ন) চুক্তিসম্পাদন ও কার্যাদেশ প্রদান।</t>
  </si>
  <si>
    <t xml:space="preserve"> ২,১০,৮৫,৫৫৭/-</t>
  </si>
  <si>
    <t>১৭(৯)</t>
  </si>
  <si>
    <t>প্রি-পেইড মিটার প্রতিস্থাপনের সময় গ্রাহকের নিকট হতে পূর্বের বকেয়া আদায় না করায় প্রতিষ্ঠানের আর্থিক ক্ষতি ১৫,৫৪,৯৫৬/- টাকা</t>
  </si>
  <si>
    <t>১৫,৫৪,৯৫৬/</t>
  </si>
  <si>
    <t>১৮(২২)</t>
  </si>
  <si>
    <t>বিভিন্ন শ্রেণির গ্রাহকের নিকট হতে বকেয়া বিদ্যুৎ বিল আদায় না করায় প্রতিষ্ঠানের আর্থিক ক্ষতি ১৬,৪৪,৩৬০/- টাকা।</t>
  </si>
  <si>
    <t xml:space="preserve"> ১৬,৪৪,৩৬০/-</t>
  </si>
  <si>
    <t>৫৮(৫)</t>
  </si>
  <si>
    <t>পোস্ট পেইড মিটার পরিবর্তন করে গ্রাহকের প্রি-পেইড মিটার সংযোগ প্রদানের সময় জমাকৃত নিরাপত্তা জামানত বাবদ ৪৯,৩৮,২০০/- টাকা ফেরত প্রদান করা হয়নি।</t>
  </si>
  <si>
    <t>৪৯,৩৮,২০০/-</t>
  </si>
  <si>
    <t>১৬(৭)</t>
  </si>
  <si>
    <t>নিখোঁজ গ্রাহকের নিকট হতে বিদ্যুৎ বিল বাবদ বকেয়া আদায় না করায় প্রতিষ্ঠানের আর্থিক ক্ষতি ৩৯,১৯,৩৪৫/- টাকা।</t>
  </si>
  <si>
    <t xml:space="preserve"> ৩৯,১৯,৩৪৫/</t>
  </si>
  <si>
    <t>১৭(৮)</t>
  </si>
  <si>
    <t>প্রি-পেইড মিটার প্রতিস্থাপনের সময় গ্রাহকের নিকট হতে পূর্বের বকেয়া আদায় না করায় প্রতিষ্ঠানের আর্থিক ক্ষতি ২৫,৪৫,০০৯/- টাকা</t>
  </si>
  <si>
    <t>২৫,৪৫,০০৯/-</t>
  </si>
  <si>
    <t>১৮(২১)</t>
  </si>
  <si>
    <t>বিভিন্ন শ্রেণির গ্রাহকের নিকট হতে বকেয়া বিদ্যুৎ বিল আদায় না করায় প্রতিষ্ঠানের আর্থিক ক্ষতি ১,৬২,৯৮,১১৭/- টাকা।</t>
  </si>
  <si>
    <t>১,৬২,৯৮,১১৭/</t>
  </si>
  <si>
    <t>প্রয়োজন না থাকা সত্ত্বেও কক্সবাজার কলাতলী এলাকায় বিউবোর উন্নয়ন কাজের জন্য ৪ (চার) একর জমি অধিগ্রহণের জন্য পিডিবির আর্থিক ক্ষতি ৩২,১৪,৩৮,০০২ (বত্রিশ কোটি চুরানব্বই লক্ষ আটত্রিশ হাজার দুই) টাকা।</t>
  </si>
  <si>
    <t>৩২,১৪,৩৮,০০২/-</t>
  </si>
  <si>
    <t>১৭(১০)</t>
  </si>
  <si>
    <t>প্রি-পেইড মিটার প্রতিস্থাপনের সময় গ্রাহকের নিকট হতে পূর্বের বকেয়া আদায় না করায় প্রতিষ্ঠানের আর্থিক ক্ষতি ১,৩০,৩১,৭০৮.৯১ টাকা</t>
  </si>
  <si>
    <t>১,৩০,৩১,৭০৮.৯১</t>
  </si>
  <si>
    <t>১৮(২৩)</t>
  </si>
  <si>
    <t>বিভিন্ন শ্রেণির গ্রাহকের নিকট হতে বকেয়া বিদ্যুৎ বিল আদায় না করায় প্রতিষ্ঠানের আর্থিক ক্ষতি ৪,৩৬,৫৮,৪৫৫.১৯ টাকা।</t>
  </si>
  <si>
    <t>৪,৩৬,৫৮,৪৫৫.১৯</t>
  </si>
  <si>
    <t>৫৮(৬)</t>
  </si>
  <si>
    <t>পোস্ট পেইড মিটার পরিবর্তন করে গ্রাহকের প্রি-পেইড মিটার সংযোগ প্রদানের সময় জমাকৃত নিরাপত্তা জামানত বাবদ ৫৭,০১,০০০/- টাকা ফেরত প্রদান করা হয়নি।</t>
  </si>
  <si>
    <t>৫৭,০১,০০০/</t>
  </si>
  <si>
    <t>আউটসোসিং নীতিমালায় বর্ণিত মূল্য অপেক্ষা অধিক হারে প্রাক্কলন প্রস্তুত করে উর্ধ্বদরে ঠিকাদারের সহিত চুক্তি সম্পাদন করায় আর্থিক ক্ষতি ১,২৫,০৫,৫১০/- (এক কোটি পঁচিশ লক্ষ পাঁচ হাজার পাঁচশত দশ) টাকা।</t>
  </si>
  <si>
    <t>১,২৫,০৫,৫১০/</t>
  </si>
  <si>
    <t>৩৯(৩)</t>
  </si>
  <si>
    <t>বাজেট বরাদ্দ না থাকা সত্ত্বেও অনিয়মিতভাবে এক খাতের বরাদ্দকৃত টাকা অন্যখাতে ব্যয়, জড়িত টাকা ৮,০৭,১৯২/- (উনত্রিশ লক্ষ নব্বই হাজার একশত বিরানব্বই)</t>
  </si>
  <si>
    <t>৮,০৭,১৯২/</t>
  </si>
  <si>
    <t>১৬(৮)</t>
  </si>
  <si>
    <t>নিখোঁজ গ্রাহকের নিকট হতে বিদ্যুৎ বিল বাবদ বকেয়া আদায় না করায় প্রতিষ্ঠানের আর্থিক ক্ষতি ১৪,৭৫,৭৭৬/- টাকা।</t>
  </si>
  <si>
    <t>১৪,৭৫,৭৭৬/-</t>
  </si>
  <si>
    <t>১৭(১১)</t>
  </si>
  <si>
    <t>প্রি-পেইড মিটার প্রতিস্থাপনের সময় গ্রাহকের নিকট হতে পূর্বের বকেয়া আদায় না করায় প্রতিষ্ঠানের আর্থিক ক্ষতি ২৭,৩৩,১৫৭/- টাকা</t>
  </si>
  <si>
    <t>২৭,৩৩,১৫৭/-</t>
  </si>
  <si>
    <t>১৮(২৪)</t>
  </si>
  <si>
    <t>বিভিন্ন শ্রেণির গ্রাহকের নিকট হতে বকেয়া বিদ্যুৎ বিল আদায় না করায় প্রতিষ্ঠানের আর্থিক ক্ষতি ১,০১,২৯,৮০৪/- টাকা।</t>
  </si>
  <si>
    <t>১,০১,২৯,৮০৪/-</t>
  </si>
  <si>
    <t>৫৮(৭)</t>
  </si>
  <si>
    <t>পোস্ট পেইড মিটার পরিবর্তন করে গ্রাহকের প্রি-পেইড মিটার সংযোগ প্রদানের সময় জমাকৃত নিরাপত্তা জামানত বাবদ ১২,১৭,৪০০/- টাকা ফেরত প্রদান করা হয়নি।</t>
  </si>
  <si>
    <t>১২,১৭,৪০০/-</t>
  </si>
  <si>
    <t>১৬(৬)</t>
  </si>
  <si>
    <t>নিখোঁজ গ্রাহকের নিকট হতে বিদ্যুৎ বিল বাবদ বকেয়া আদায় না করায় প্রতিষ্ঠানের আর্থিক ক্ষতি ১১,৭৯,২৮৪/- টাকা।</t>
  </si>
  <si>
    <t>১১,৭৯,২৮৪/</t>
  </si>
  <si>
    <t>১৭(১৭)</t>
  </si>
  <si>
    <t>প্রি-পেইড মিটার প্রতিস্থাপনের সময় গ্রাহকের নিকট হতে পূর্বের বকেয়া আদায় না করায় প্রতিষ্ঠানের আর্থিক ক্ষতি ২১,০২,৩৩৪/-টাকা</t>
  </si>
  <si>
    <t>২১,০২,৩৩৪/-</t>
  </si>
  <si>
    <t>১৮(২০)</t>
  </si>
  <si>
    <t>বিভিন্ন শ্রেণির গ্রাহকের নিকট হতে বকেয়া বিদ্যুৎ বিল আদায় না করায় প্রতিষ্ঠানের আর্থিক ক্ষতি ৫৭,০৩,৪৫৮/- টাকা।</t>
  </si>
  <si>
    <t>৫৭,০৩,৪৫৮/-</t>
  </si>
  <si>
    <t>বরাদ্দকৃত বাসার ভাড়া বকেয়া থাকায় পিডিবির আর্থিক ক্ষতি ১২,৮৮,৭৩৩/- (বারো লক্ষ আটাশি হাজার সাতশত তেত্রিশ) টাকা</t>
  </si>
  <si>
    <t>১২,৮৮,৭৩৩/-</t>
  </si>
  <si>
    <t>বরাদ্দকৃত দোকানের ভাড়া বকেয়া থাকায় পিডিবির আর্থিক ক্ষতি ১২,৮৬,৬৫৫/- ( বারো লক্ষ ছিয়াশি হাজার ছয়শত পঞ্চান্ন) টাকা</t>
  </si>
  <si>
    <t>১২,৮৬,৬৫৫/-</t>
  </si>
  <si>
    <t>৪২(১)</t>
  </si>
  <si>
    <t>দাপ্তরিক প্রাক্কলিত মূল্য পুনঃপরীক্ষা এবং কম মূল্য উদ্ধৃত করার কারণ অনুসন্ধান না করে অস্বাভাবিক নিম্নদরে কার্যাদেশ প্রদান করায় অনিয়মিত ব্যয় ৫,৭৭,৮০০/- টাকা।</t>
  </si>
  <si>
    <t>৫,৭৭,৮০০/-</t>
  </si>
  <si>
    <t>২০১৮-২০১৯</t>
  </si>
  <si>
    <t>২৯</t>
  </si>
  <si>
    <t>পিপিআর-২০০৮ লংঘন করে আরএফকিউ পদ্ধতিতে অনিয়মতভাবে ২১,২৩,৫৬১ (একুশ লক্ষ তেইশ হাজার পাঁচশত একষটি) টাকা পরিশোধ করা হয়েছে।</t>
  </si>
  <si>
    <t>২১,২৩,৫৬১.০০</t>
  </si>
  <si>
    <t xml:space="preserve">২০২৪-২০২৫ </t>
  </si>
  <si>
    <t>৮২(১)</t>
  </si>
  <si>
    <t>শিরোনামঃ ঊর্ধ্বতন কর্তৃপক্ষের অনুমোদন বাধ্যবাধকতা এড়ানো লক্ষ্যে একই কাজকে একাধিক প্যাকেজের মাধ্যমে ১ জন ঠিকাদারের সাথে চুক্তি সম্পাদন ও ৭০,২৫,৮২৬/- টাকার বিল পরিশোধ।</t>
  </si>
  <si>
    <t>৭০,২৫,৮২৬/-</t>
  </si>
  <si>
    <t>৮৮(১)</t>
  </si>
  <si>
    <t>শিরোনামঃ দাপ্তরিক প্রাক্কলিত মূল্য বাস্তব সম্মত হওয়ার পরও অস্বাভাবিক নিম্নদরে অনিয়মিতভাবে  ১৮,২৮,২০৫/- টাকার চুক্তি সম্পাদন ও বিল প্রদান ।</t>
  </si>
  <si>
    <t>১৮,২৮,২০৫/-</t>
  </si>
  <si>
    <t>৯৯(১)</t>
  </si>
  <si>
    <t>শিরোনামঃ বাবিউবো এর আর্থিক ক্ষমতা অর্পণ নীতিমালার নির্দেশনা লংঘন করে মশক নিধন খাতে অপ্রয়োজনীয় ব্যয়ে সরকারের আর্থিক ক্ষতি ২৭,৬৪,৪০৬/- টাকা।</t>
  </si>
  <si>
    <t>২৭,৬৪,৪০৬/-</t>
  </si>
  <si>
    <t>প্রধান প্রকৌশলী, শিকলবাহা ২২৫ মে.ও.কেন্দ্র, বিউবো, চট্টগ্রাম।</t>
  </si>
  <si>
    <r>
      <t xml:space="preserve">শিরোনাম : </t>
    </r>
    <r>
      <rPr>
        <sz val="12"/>
        <color rgb="FF000000"/>
        <rFont val="NikoshBAN"/>
      </rPr>
      <t>গ্যাস কোম্পানী কর্তৃক সরবরাহকৃত ইনভয়েজের গ্যাসের মূল্য অপেক্ষা অধিক মূল্যে জ্বালানি খরচ দেখিয়ে বিদ্যুৎ উৎপাদন খরচ নির্ধারণ করায় আর্থিক ক্ষতি ২৮০৯৮৭৪৪১ (আটাশ কোটি নয় লক্ষ সাতাশি হাজার চারশত একচল্লিশ) টাকা।</t>
    </r>
  </si>
  <si>
    <t>২৮,০৯,৮৭,৪৪১/-</t>
  </si>
  <si>
    <t>৫১(৩)</t>
  </si>
  <si>
    <t xml:space="preserve">শিরোনামঃ পিপিএ-এর বাধ্যতামূলক শর্ত লঙ্ঘন করে নির্ধারিত সময়ে বীমা নবায়ন না করায় বীমার প্রিমিয়ামের উপর প্রযোজ্য ভ্যাট বাবদ সরকারের সর্বমোট ১,০৬,৭৬,১৬৬/- টাকা রাজস্ব ক্ষতি। </t>
  </si>
  <si>
    <t>১,০৬,৭৬,১৬৬/-</t>
  </si>
  <si>
    <r>
      <t xml:space="preserve">শিরোনাম : </t>
    </r>
    <r>
      <rPr>
        <sz val="12"/>
        <color rgb="FF000000"/>
        <rFont val="NikoshBAN"/>
      </rPr>
      <t>প্রয়োজন ছাড়া মালামাল ক্রয় করে দীর্ঘদিন স্টোরে মজুদ রাখায় বোর্ড তথা সরকারের আর্থিক ক্ষতি ১০,০৩,৭১,৭৭২/- টাকা।</t>
    </r>
  </si>
  <si>
    <t>১০,০৩,৭১,৭৭২/-</t>
  </si>
  <si>
    <t>৭৪(৩)</t>
  </si>
  <si>
    <t>শিরোনামঃপিপিএ-এর বাধ্যতামূলক শর্ত লঙ্ঘন করে নির্ধারিত সময়ে বীমা নবায়ন না করায় বীমা প্রিমিয়াম বাবদ সরকারের সর্বমোট ২৮,৯৬,০৯,৫৭৬ (আটাশ কোটি ছিয়ানব্বই লক্ষ নয় হাজার পাঁচশত ছিয়াত্তর) টাকা আর্থিক ক্ষতি এবং সরকারি বিদ্যুৎ উৎপাদন সম্পদকে ঝুঁকির মধ্যে নিপতিতকরণ।</t>
  </si>
  <si>
    <t>৭,১১,৭৪,৪৪৪/-</t>
  </si>
  <si>
    <r>
      <t xml:space="preserve">শিরোনাম : </t>
    </r>
    <r>
      <rPr>
        <sz val="12"/>
        <color rgb="FF000000"/>
        <rFont val="NikoshBAN"/>
      </rPr>
      <t>স্টোরে রক্ষিত মালামালের মূল্যসহ তালিকাভুক্ত না করে স্টোর বুক ব্যালেন্স সংরক্ষণ করায় সরকারি সম্পদের ঝুকি।</t>
    </r>
  </si>
  <si>
    <t>----</t>
  </si>
  <si>
    <t>২৪(২)</t>
  </si>
  <si>
    <t>শিরোনামঃ প্রি-পেইড মিটার প্রতিস্থাপনের সময় গ্রাহকের নিকট হতে পূর্বের বকেয়া আদায় না করায় প্রতিষ্ঠানের আর্থিক ক্ষতি ১,০২,৯১,৭৯৩/- টাকা।</t>
  </si>
  <si>
    <t>১,০২,৯১,৭৯৩/-</t>
  </si>
  <si>
    <t>৪৭(১)</t>
  </si>
  <si>
    <t>শিরোনামঃ নিখোঁজ গ্রাহকের নিকট হতে বিদ্যুৎ বিল বাবদ বকেয়া আদায় না করায় প্রতিষ্ঠানের আর্থিক ক্ষতি ৪,১০,১১,২১২/- টাকা</t>
  </si>
  <si>
    <t>৪,১০,১১,২১২/-</t>
  </si>
  <si>
    <t>৫৫(২)</t>
  </si>
  <si>
    <t>শিরোনাম :মন্ত্রনালয়ের নির্দেশনা প্রতিপালন না করে জমাকৃত নিরাপত্তা জামানত বাবদ ১,০৪,৮২,৩৭৫/- টাকা ফেরত না দিয়েই পোস্ট পেইড মিটার পরিবর্তন করে গ্রাহকের প্রি-পেইড মিটার সংযোগ প্রদান।</t>
  </si>
  <si>
    <t>১,০৪,৮২,৩৭৫/-</t>
  </si>
  <si>
    <t>৬০(৫)</t>
  </si>
  <si>
    <t>শিরোনাম :উদ্ধারকৃত মালামাল বাস্তবে যাচাইয়ে সংশ্লিষ্ট গুদামে পাওয়া না গেলেও ঠিকাদারদের অনুকূলে বিল পরিশোধের ফলে বিপিডিবির মোট আর্থিক ক্ষতি ২০,৪৬,৫৮৩/- টাকা।</t>
  </si>
  <si>
    <t>২০,৪৬,৫৮৩/-</t>
  </si>
  <si>
    <t>২৪(১)</t>
  </si>
  <si>
    <t>শিরোনামঃ প্রি-পেইড মিটার প্রতিস্থাপনের সময় গ্রাহকের নিকট হতে পূর্বের বকেয়া আদায় না করায় প্রতিষ্ঠানের আর্থিক ক্ষতি ৪২,৫৮,৫৩১/-টাকা।</t>
  </si>
  <si>
    <t>৪২,৫৮,৫৩১/-</t>
  </si>
  <si>
    <t>৪৭(৪)</t>
  </si>
  <si>
    <t>শিরোনামঃ নিখোঁজ গ্রাহকের নিকট হতে বিদ্যুৎ বিল বাবদ বকেয়া আদায় না করায় প্রতিষ্ঠানের আর্থিক ক্ষতি ৬৭,৩৮,৩৫৯/- টাকা</t>
  </si>
  <si>
    <t>৬৭,৩৮,৩৫৯/-</t>
  </si>
  <si>
    <t>৫৫(৭)</t>
  </si>
  <si>
    <t>শিরোনাম :মন্ত্রনালয়ের নির্দেশনা প্রতিপালন না করে জমাকৃত নিরাপত্তা জামানত বাবদ ১,২২,৪২,২৫০/- টাকা ফেরত না দিয়েই পোস্ট পেইড মিটার পরিবর্তন করে গ্রাহকের প্রি-পেইড মিটার সংযোগ প্রদান।</t>
  </si>
  <si>
    <t>১,২২,৪২,২৫০/-</t>
  </si>
  <si>
    <t>৮০(৩)</t>
  </si>
  <si>
    <t>শিরোনামঃ বিভিন্ন শ্রেণির গ্রাহকের নিকট হতে দীর্ঘদিন যাবৎ বকেয়া বিদ্যুৎ বিল আদায় না করায় প্রতিষ্ঠানের আর্থিক ক্ষতি ২,৩২,৮৫,৫৯৯/- টাকা।</t>
  </si>
  <si>
    <t>২,৩২,৮৫,৫৯৯/-</t>
  </si>
  <si>
    <t>২৪(৪)</t>
  </si>
  <si>
    <t>শিরোনামঃ প্রি-পেইড মিটার প্রতিস্থাপনের সময় গ্রাহকের নিকট হতে পূর্বের বকেয়া আদায় না করায় প্রতিষ্ঠানের আর্থিক ক্ষতি ৭৪,২৯,৯৮২/- টাকা।</t>
  </si>
  <si>
    <t>৭৪,২৯,৯৮২/-</t>
  </si>
  <si>
    <t>৪৭(৩)</t>
  </si>
  <si>
    <t>শিরোনামঃ নিখোঁজ গ্রাহকের নিকট হতে বিদ্যুৎ বিল বাবদ বকেয়া আদায় না করায় প্রতিষ্ঠানের আর্থিক ক্ষতি ২০,২৮,৬০৫/- টাকা</t>
  </si>
  <si>
    <t>২০,২৮,৬০৫/-</t>
  </si>
  <si>
    <t>৬০(২)</t>
  </si>
  <si>
    <t>শিরোনাম :উদ্ধারকৃত মালামাল বাস্তবে যাচাইয়ে সংশ্লিষ্ট গুদামে পাওয়া না গেলেও ঠিকাদারদের অনুকূলে বিল পরিশোধের ফলে বিপিডিবির মোট আর্থিক ক্ষতি ১০,৫৭,০০০/- টাকা।</t>
  </si>
  <si>
    <t>১০,৫৭,০০০/-</t>
  </si>
  <si>
    <t>৮০(৪)</t>
  </si>
  <si>
    <t>শিরোনামঃ বিভিন্ন শ্রেণির গ্রাহকের নিকট হতে দীর্ঘদিন যাবৎ বকেয়া বিদ্যুৎ বিল আদায় না করায় প্রতিষ্ঠানের আর্থিক ক্ষতি ১,৯৩,৮৫,২২০/- টাকা।</t>
  </si>
  <si>
    <t>১,৯৩,৮৫,২২০/-</t>
  </si>
  <si>
    <t>৪৬(১)</t>
  </si>
  <si>
    <t>শিরোনামঃ বিভিন্ন শ্রেণির সংযোগ বিচ্ছিন্ন গ্রাহকের নিকট হতে দীর্ঘদিন যাবৎ বকেয়া আদায় না করায় প্রতিষ্ঠানের আর্থিক ক্ষতি ৪৭,৮৫,০৮৮/- টাকা।</t>
  </si>
  <si>
    <t>৪৭,৮৫,০৮৮/-</t>
  </si>
  <si>
    <t>৫৪(১)</t>
  </si>
  <si>
    <t>শিরোনাম :বিজ্ঞাপন খরচ ও জনদূর্ভোগের বিষয় বিবেচনায় না নিয়ে আরএফকিউ, ডিপিএম ও এলটিএমযোগ্য কাজকে ওটিএম এ সম্পাদনের মাধ্যমে ৭২,৯৬,৮১২/- টাকার চুক্তি সম্পাদন ও বিল পরিশোধ।</t>
  </si>
  <si>
    <t>৭২,৯৬,৮১২/-</t>
  </si>
  <si>
    <t>৫৫(১)</t>
  </si>
  <si>
    <t>শিরোনাম :মন্ত্রনালয়ের নির্দেশনা প্রতিপালন না করে জমাকৃত নিরাপত্তা জামানত বাবদ ১,৬৫,৬৪,৮৭৫/- টাকা ফেরত না দিয়েই পোস্ট পেইড মিটার পরিবর্তন করে গ্রাহকের প্রি-পেইড মিটার সংযোগ প্রদান।</t>
  </si>
  <si>
    <t>১,৬৫,৬৪,৮৭৫/-</t>
  </si>
  <si>
    <t>৮০(১)</t>
  </si>
  <si>
    <t>শিরোনামঃ বিভিন্ন শ্রেণির গ্রাহকের নিকট হতে দীর্ঘদিন যাবৎ বকেয়া বিদ্যুৎ বিল আদায় না করায় প্রতিষ্ঠানের আর্থিক ক্ষতি ৫৬,৫৪,১৮৮/- টাকা।</t>
  </si>
  <si>
    <t>৫৬,৫৪,১৮৮/-</t>
  </si>
  <si>
    <t>২৪(৩)</t>
  </si>
  <si>
    <t>শিরোনামঃ প্রি-পেইড মিটার প্রতিস্থাপনের সময় গ্রাহকের নিকট হতে পূর্বের বকেয়া আদায় না করায় প্রতিষ্ঠানের আর্থিক ক্ষতি ৬০,১৮,৫৮৭/- টাকা।</t>
  </si>
  <si>
    <t>৬০,১৮,৫৮৭/-</t>
  </si>
  <si>
    <r>
      <t xml:space="preserve">শিরোনাম : </t>
    </r>
    <r>
      <rPr>
        <sz val="10"/>
        <color rgb="FF000000"/>
        <rFont val="NikoshBAN"/>
      </rPr>
      <t>লাইন ও যন্ত্রপাতি রক্ষণাবেক্ষণ সেবা সার্ভিসের জন্য ঠিকাদারের মাধ্যমে কার্য সম্পাদন কাজ চলমান থাকা অবস্থায় জরুরী মেরামত কাজ দেখিয়ে বিল পরিশোধ করায় বোর্ডের আর্থিক ক্ষতি 894728 (আট লক্ষ চুরান্নই হাজার সাতশত আটাশ) টাকা।</t>
    </r>
  </si>
  <si>
    <t>৮,৯৪,৭২৮/-</t>
  </si>
  <si>
    <t>৪৬(২)</t>
  </si>
  <si>
    <t>শিরোনামঃ বিভিন্ন শ্রেণির সংযোগ বিচ্ছিন্ন গ্রাহকের নিকট হতে দীর্ঘদিন যাবৎ বকেয়া আদায় না করায় প্রতিষ্ঠানের আর্থিক ক্ষতি ২৭,২৫,১৯,২৫৬/- টাকা।</t>
  </si>
  <si>
    <t>২৭,২৫,১৯,২৫৬/-</t>
  </si>
  <si>
    <t>৪৭(২)</t>
  </si>
  <si>
    <t>শিরোনামঃ নিখোঁজ গ্রাহকের নিকট হতে বিদ্যুৎ বিল বাবদ বকেয়া আদায় না করায় প্রতিষ্ঠানের আর্থিক ক্ষতি ৯৩,০০,০৫৮/- টাকা</t>
  </si>
  <si>
    <t>৯৩,০০,০৫৮/-</t>
  </si>
  <si>
    <t>৫৫(৩)</t>
  </si>
  <si>
    <t>শিরোনাম :মন্ত্রনালয়ের নির্দেশনা প্রতিপালন না করে জমাকৃত নিরাপত্তা জামানত বাবদ ১,২৫,৯৫,১২৫/- টাকা ফেরত না দিয়েই পোস্ট পেইড মিটার পরিবর্তন করে গ্রাহকের প্রি-পেইড মিটার সংযোগ প্রদান।</t>
  </si>
  <si>
    <t>১,২৫,৯৫,১২৫/-</t>
  </si>
  <si>
    <t>৮০(২)</t>
  </si>
  <si>
    <t>শিরোনামঃ বিভিন্ন শ্রেণির গ্রাহকের নিকট হতে দীর্ঘদিন যাবৎ বকেয়া বিদ্যুৎ বিল আদায় না করায় প্রতিষ্ঠানের আর্থিক ক্ষতি ২,৫৩,০৩,৫০৯/- টাকা।</t>
  </si>
  <si>
    <t>২,৫৩,০৩,৫০৯/-</t>
  </si>
  <si>
    <t>৯৬(১)</t>
  </si>
  <si>
    <t xml:space="preserve">শিরোনামঃ পিপিআর  ২০০৮ এর বিধি  উপেক্ষা মজুরীর বিনিময়ে সরাসরি শ্রমিক নিয়োগের ক্ষেত্রে বাৎসরিক সিলিং সীমার অতিরিক্ত ব্যয় ১২,২৬,৯২০/- টাকা। </t>
  </si>
  <si>
    <t>১২,২৬,৯২০/-</t>
  </si>
  <si>
    <t>৯৮(২)</t>
  </si>
  <si>
    <t>শিরোনামঃ দাপ্তরিক প্রাক্কলিত মূল্য প্রকাশ করে পারস্পরিক যোগসাজসের মাধ্যমে ঠিকাদার নির্বাচন পূর্বক অনিয়মিতভাবে ৬,৯৫,৬৮৬/- টাকার কার্য সম্পাদন।</t>
  </si>
  <si>
    <t>৬,৯৫,৬৮৬/-</t>
  </si>
  <si>
    <r>
      <t xml:space="preserve">শিরোনাম : </t>
    </r>
    <r>
      <rPr>
        <sz val="10"/>
        <color rgb="FF000000"/>
        <rFont val="NikoshBAN"/>
      </rPr>
      <t>বিধি বহির্ভূতভাবে কর্মকর্তাগণকে পালাবদল ভাতা প্রদান করায় প্রতিষ্ঠানের আর্থিক ক্ষতি ২৯৪,১৫৩/- টাকা।</t>
    </r>
  </si>
  <si>
    <t>২৯৪,১৫৩/-</t>
  </si>
  <si>
    <t>১০৯(১)</t>
  </si>
  <si>
    <t>শিরোনামঃ যানবাহন মেরামত খাতে ব্যয়সীমার অতিরিক্ত অনিয়মিত ব্যয়ে সরকারের আর্থিক ক্ষতি ১০,১৬,১৯০/-  টাকা।</t>
  </si>
  <si>
    <t>১০,১৬,১৯০/-</t>
  </si>
  <si>
    <r>
      <t xml:space="preserve">শিরোনাম : </t>
    </r>
    <r>
      <rPr>
        <sz val="10"/>
        <color rgb="FF000000"/>
        <rFont val="NikoshBAN"/>
      </rPr>
      <t>চুক্তি সম্পাদনের পূর্বেই সেবা সরবরাহ কাজ সম্পাদন দেখিয়ে বিল পরিশোধ করায় বোর্ডের আর্থিক ক্ষতি ৬৮৫৫৩০ (ছয় লক্ষ পঁচাশি হাজার পাঁচশত ত্রিশ) টাকা।</t>
    </r>
  </si>
  <si>
    <t>6,85,530/-</t>
  </si>
  <si>
    <r>
      <t xml:space="preserve">শিরোনাম : </t>
    </r>
    <r>
      <rPr>
        <sz val="10"/>
        <color rgb="FF000000"/>
        <rFont val="NikoshBAN"/>
      </rPr>
      <t>প্রাক্কলনের সাথে সংযুক্ত ভ্যাট যথাযথভাবে কর্তন না করায় সরকারের আর্থিক ক্ষতি ৯০৫২৮১ (নয় লক্ষ পাঁচ হাজার দুইশত একাশি) টাকা।</t>
    </r>
  </si>
  <si>
    <t>9,05,281/-</t>
  </si>
  <si>
    <t>শিরোনামঃ সর্বনিম্ন দরদাতার সাথে চুক্তি সম্পাদন না করে পুনঃদরপত্র আহবানের মাধ্যমে অধিকমূল্যে চুক্তি সম্পাদনের ফলে  ১১৭,৪৭,৮৪,৮৯৮  টাকা আর্থিক ক্ষতি।</t>
  </si>
  <si>
    <t>১১৭,৪৭,৮৪,৮৯৮/-</t>
  </si>
  <si>
    <t>১৩(১)</t>
  </si>
  <si>
    <r>
      <t>শিরোনাম:</t>
    </r>
    <r>
      <rPr>
        <sz val="12"/>
        <color rgb="FF000000"/>
        <rFont val="NikoshBAN"/>
      </rPr>
      <t>প্রকল্পের পূর্ত নির্মাণ কাজে যোগ্য ঠিকাদার নির্বাচনের ব্যর্থতায় প্রকল্পের মেয়াদ বৃদ্ধির ক্ষেত্রে কর্মপরিধি কমলেও প্রকল্পের ব্যয় বৃদ্ধিতে সরকারের আর্থিক ক্ষতি 2128568000/- টাকা।</t>
    </r>
  </si>
  <si>
    <t>212,85,68,000/</t>
  </si>
  <si>
    <t>শিরোনামঃ প্রস্তুতের প্রয়োজনীয়তা যাচাই ব্যতিরেকে সাব ষ্টেশন নির্মানের জমি অধিগ্রহণ করায় বোর্ডের আর্থিক ক্ষতি ৯৮,৮১,৫০,৬৬৮  টাকা।</t>
  </si>
  <si>
    <t xml:space="preserve">৯৮,৮১,৫০,৬৬৮/- </t>
  </si>
  <si>
    <r>
      <t>শিরোনাম :</t>
    </r>
    <r>
      <rPr>
        <sz val="12"/>
        <color rgb="FF000000"/>
        <rFont val="NikoshBAN"/>
      </rPr>
      <t>পিপিআর এর বিধি অনুযায়ী দাপ্তরিক প্রাক্কলন প্রস্তুত না করে দরপত্র আহবানের ফলে পিডিবির ২৫,৮৪,৬৬,২৯১/- টাকা আর্থিক ক্ষতি।</t>
    </r>
  </si>
  <si>
    <t>২৫,৮৪,৬৬,২৯১/-</t>
  </si>
  <si>
    <t>শিরোনাম: কার্যকর প্রতিযোগিতা ও টিডিএস শর্ত উপেক্ষা করে একক/অযোগ্য দরদাতার সাথে উর্ধ্বদরে চুক্তি ও বিল পরিশোধে সরকারের আর্থিক ক্ষতি ২৩,০৯,২১৮/- টাকা।</t>
  </si>
  <si>
    <t>23,09,218/-</t>
  </si>
  <si>
    <r>
      <t>শিরোনাম :</t>
    </r>
    <r>
      <rPr>
        <sz val="12"/>
        <color rgb="FF000000"/>
        <rFont val="NikoshBAN"/>
      </rPr>
      <t xml:space="preserve">প্রকল্প আরডিপিপি’র অনুমোদন বহির্ভূত কর্মকর্তা পদায়ন করে বেতন ভাতা পরিশোধ করায় বোর্ডের অনিয়মিত ব্যয় ১৯৪৪৫৮৮/- টাকা </t>
    </r>
  </si>
  <si>
    <t>১৯৪৪৫৮৮/-</t>
  </si>
  <si>
    <t>৩৮(১)</t>
  </si>
  <si>
    <t>শিরোনাম : দরপত্রের শর্তানুযায়ী দরপত্রে অংশগ্রহণকারী সকল দরদাতা নন-রেসপন্সিভ/অযোগ্য হওয়া সত্ত্বেও দরপত্র বাতিল বা পুনঃদরপত্র আহবান না করে ২য়/৩য় সর্বনিম্ন অযোগ্য দরদাতার সাথে চুক্তি সম্পাদন ও বিল পরিশোধ করায় বোর্ডের ১৮,৬৮,৭৫৫/- টাকা আর্থিক ক্ষতি।</t>
  </si>
  <si>
    <t>১৮,৬৮,৭৫৫/-</t>
  </si>
  <si>
    <r>
      <t xml:space="preserve">শিরোনাম : </t>
    </r>
    <r>
      <rPr>
        <sz val="12"/>
        <color rgb="FF000000"/>
        <rFont val="NikoshBAN"/>
      </rPr>
      <t>যথাযথভাবে বাজারদর যাচাই না করে দাপ্তরিক প্রাক্কলিত মূল্য নির্ধারণপুর্বক চুক্তি সম্পাদন করে বিল পরিশোধ করায় বোর্ডের ক্ষতি ৭৩,৯৯,৮৩০/- টাকা।</t>
    </r>
  </si>
  <si>
    <t>৭৩,৯৯,৮৩০/-</t>
  </si>
  <si>
    <r>
      <t xml:space="preserve">শিরোনাম : </t>
    </r>
    <r>
      <rPr>
        <sz val="12"/>
        <color rgb="FF000000"/>
        <rFont val="NikoshBAN"/>
      </rPr>
      <t>অপ্রয়োজনীয় আইটেম যুক্ত করে প্রাক্কলিত মূল্য বৃদ্ধি পূর্বক চুক্তি সম্পাদনের ফলে পিডিবির ১৬৬৪৪৮০ টাকা আর্থিক ক্ষতি।</t>
    </r>
  </si>
  <si>
    <t>16,64,480/-</t>
  </si>
  <si>
    <r>
      <t xml:space="preserve">শিরোনাম : </t>
    </r>
    <r>
      <rPr>
        <sz val="12"/>
        <color rgb="FF000000"/>
        <rFont val="NikoshBAN"/>
      </rPr>
      <t xml:space="preserve">প্রাক্কলিত মূল্য অপেক্ষা নিদিষ্ট আইটেমে অধিক মূল্য চুক্তি সম্পাদন পূর্বক ফ্রন্ট লোডিং এর মাধ্যমে বিল পরিশোধের ফলে পিডিবির </t>
    </r>
    <r>
      <rPr>
        <sz val="12"/>
        <color theme="1"/>
        <rFont val="NikoshBAN"/>
      </rPr>
      <t xml:space="preserve">২৬৯০১৪৩ (ছাব্বিশ লক্ষ নব্বই হাজার একশত তেতাল্লিশ) টাকা </t>
    </r>
    <r>
      <rPr>
        <sz val="12"/>
        <color rgb="FF000000"/>
        <rFont val="NikoshBAN"/>
      </rPr>
      <t>আর্থিক ক্ষতি।</t>
    </r>
  </si>
  <si>
    <t>26,90143/-</t>
  </si>
  <si>
    <r>
      <t xml:space="preserve">শিরোনাম : </t>
    </r>
    <r>
      <rPr>
        <sz val="12"/>
        <color rgb="FF000000"/>
        <rFont val="NikoshBAN"/>
      </rPr>
      <t>দাখিলকৃতদর বাস্তব সম্মত হওয়ার পরও সর্বনিম্ন দরদাতার সাথে চুক্তি সম্পাদন না করে পুন:টেন্ডার আহবানের মাধ্যমে অধিক মূল্যে চুক্তি সম্পাদন করায় ৫,১৭,৩১৫ টাকা আর্থিক ক্ষতি।</t>
    </r>
  </si>
  <si>
    <t>৫,১৭,৩১৫/-</t>
  </si>
  <si>
    <t>২০০১-২০১৩</t>
  </si>
  <si>
    <t>একক হারের তুলনায় দ্বিগুন হারে সীমাতিরিক্ত অধিকাল বিল পরিশোধ</t>
  </si>
  <si>
    <t>১৬,১৫,৩৬,২৪১</t>
  </si>
  <si>
    <t>বিদ্যুৎ উৎপাদন বন্ধকালীন সময়ের জন্য অধিকাল ভাতার বিল পরিশোধ করায় বোর্ডের আর্থিক ক্ষতি ১,৫১,৪১,৩৪৮/- টাকা ।</t>
  </si>
  <si>
    <t>১,৫১,৪১,৩৪৮</t>
  </si>
  <si>
    <t>চায়না ন্যাশনাল মেশিনারী এন্ড ইকইপমেন্ট ইমপোর্ট এন্ড এক্সপোর্ট কর্পোরেশন এর নিকট কর্তনযোগ্য টাকা কর্তন করা হয়নি</t>
  </si>
  <si>
    <t>১,১৯,০৩,৬৪৪</t>
  </si>
  <si>
    <t>চট্টগ্রাম</t>
  </si>
  <si>
    <t>চট্টগ্রাম জোন (এস এফ আই)</t>
  </si>
  <si>
    <t>র্</t>
  </si>
  <si>
    <t>বাংলাদেশ বিদ্যুৎ উন্নয়ন বোর্ড</t>
  </si>
  <si>
    <t>অরিষ্পন্ন অডিট আপত্তির প্রতিবেদন</t>
  </si>
  <si>
    <t>চট্টগ্রাম জোন</t>
  </si>
  <si>
    <t>Non SFI (সাধারণ)</t>
  </si>
  <si>
    <t>ত্রি-পক্ষীয় সভায় আলেচনা (SFI)</t>
  </si>
  <si>
    <t>ত্রি-পক্ষীয় সভায় সুপারিশ (SFI)</t>
  </si>
  <si>
    <r>
      <t xml:space="preserve">ব্রডশীট জবাব প্রেরণ </t>
    </r>
    <r>
      <rPr>
        <b/>
        <sz val="12"/>
        <color rgb="FF000000"/>
        <rFont val="NikoshBAN"/>
      </rPr>
      <t>(SFI)</t>
    </r>
  </si>
  <si>
    <t>নিষ্টত্তির জন্য সুপারিশ</t>
  </si>
  <si>
    <t>(অগ্রিম)</t>
  </si>
  <si>
    <t>5=(3+4)</t>
  </si>
  <si>
    <t>9=7+8</t>
  </si>
  <si>
    <t>প্রধান প্রকৌশলী দক্ষিণাঞ্চল চট্টগ্রাম</t>
  </si>
  <si>
    <t>বিক্রয় ও বিতৰণ বিভাগ, কালুৰঘাট, চট্টগ্রাম</t>
  </si>
  <si>
    <t>বিক্রয় ও বিতৰণ বিভাগ, পাথৰঘাটা, চট্টগ্রাম</t>
  </si>
  <si>
    <t>বিক্রয় ও বিতৰণ বিভাগ, স্টেডিয়াম, চট্টগ্রাম</t>
  </si>
  <si>
    <t>বিক্রয় ও বিতৰণ বিভাগ, ষোলশহৰ, চট্টগ্রাম</t>
  </si>
  <si>
    <t>বিক্রয় ও বিতরণ বিভাগ, বাকলিয়া, চট্টগ্রাম</t>
  </si>
  <si>
    <t>পরিচালন ও সংরক্ষণ সার্কেল চট্টঃমেট্রোঃ পশ্চিম</t>
  </si>
  <si>
    <t>বিক্রয় ও বিতরণ বিভাগ, আগ্রাবাদ, চট্টগ্রাম</t>
  </si>
  <si>
    <t>বিক্রয় ও বিতরণ বিভাগ, খুলশী, চট্টগ্রাম</t>
  </si>
  <si>
    <t>বিক্রয় ও বিতরণ বিভাগ, পাহাড়তলী, চট্টগ্রাম</t>
  </si>
  <si>
    <t>বিক্রয় ও বিতরণ বিভাগ, হালিশহর, চট্টগ্রাম</t>
  </si>
  <si>
    <t>বিক্রয় ও বিতরণ বিভাগ, নিউমুরিং, চট্টগ্রাম</t>
  </si>
  <si>
    <t>বিক্রয় ও বিতরণ বিভাগ, রামপুর, চট্টগ্রাম</t>
  </si>
  <si>
    <t>বিক্রয় ও বিতরণ বিভাগ, ফৌজদারহাট, চট্টগ্রাম</t>
  </si>
  <si>
    <t>বিক্রয় ও বিতরণ বিভাগ, হাটহাজারী, চট্টগ্রাম</t>
  </si>
  <si>
    <t>বিক্রয় ও বিতরণ বিভাগ, মোহরা, চট্টগ্রাম</t>
  </si>
  <si>
    <t>বিক্রয় ও বিতরণ বিভাগ, পটিয়া, চট্টগ্রাম</t>
  </si>
  <si>
    <t>দোহাজারী বিদ্যুৎ সরবরাহ, চট্টগ্রাম</t>
  </si>
  <si>
    <t>বিক্রয় ও বিতরণ বিভাগ, কক্সবাজার</t>
  </si>
  <si>
    <t>চকোরিয়া বিদ্যুৎ সরবরাহ</t>
  </si>
  <si>
    <t>রামু বিদ্যুৎ সরবরাহ</t>
  </si>
  <si>
    <t>লামা বিদ্যুৎ সরবরাহ</t>
  </si>
  <si>
    <t>কুতুবদিয়া বিদ্যুৎ সরবরাহ</t>
  </si>
  <si>
    <t>বিক্রয় ও বিতরণ বিভাগ, রাঙ্গামাটি</t>
  </si>
  <si>
    <t>বিক্রয় ও বিতরণ বিভাগ, খাগড়াছড়ি</t>
  </si>
  <si>
    <t>রামগড় বিদ্যুৎ সরবরাহ</t>
  </si>
  <si>
    <t>বিক্রয় ও বিতরণ বিভাগ, বান্দরবান</t>
  </si>
  <si>
    <t>স্ক্যডা পরিচালন বিভাগ</t>
  </si>
  <si>
    <t>কেন্দ্রীয় ভান্ডার, চট্টগ্রাম</t>
  </si>
  <si>
    <t>আঞ্চলিক পূর্ত নির্মাণ বিভাগ</t>
  </si>
  <si>
    <t>পিসি পোল নির্মাণ প্ল্যান্ট</t>
  </si>
  <si>
    <t>প্রকল্প পরিচালক, বিদ্যুৎ বিতরণ ব্যবস্থা উন্নয়ন প্রকল্প, চট্টগ্রাম, জোন।</t>
  </si>
  <si>
    <t>প্রকল্প পরিচালক, বিদ্যুৎ বিতরণ ব্যবস্থা উন্নয়ন প্রকল্প (২য় পর্যায়), চট্টগ্রাম, জোন।</t>
  </si>
  <si>
    <t>তিন পার্বত্য জেলা বিদ্যুৎ বিতরণ ব্যবস্থা উন্নয়ন প্রকল্প</t>
  </si>
  <si>
    <t>চট্টগ্রাম বিদ্যুৎ কেন্দ্র, বিউবো, রাউজান, চট্টগ্রাম।</t>
  </si>
  <si>
    <t>কর্ণফুলী পানি বিদ্যুৎ কেন্দ্র, বিউবো, কাপ্তাই, রাঙ্গামাটি।</t>
  </si>
  <si>
    <t>শিকলবাহা ৬০ মেঃ ওঃবিদ্যুৎ কেন্দ্র বিউবো, চট্টগ্রাম</t>
  </si>
  <si>
    <t>শিকলবাহা ২২৫ মেঃ ওঃবিদ্যুৎ কেন্দ্র বিউবো, চট্টগ্রাম</t>
  </si>
  <si>
    <t>2011-2012</t>
  </si>
  <si>
    <t>ব্যক্তগিত ব্যবহারে জন্য গ্যাসরে চুলা ক্রয়রে ফলে র্বোডরে/ সরকাররে ১,৯৯,৯৫৫/- টাকার ক্ষতি যা আদায়যোগ্য।</t>
  </si>
  <si>
    <t>১,৯৯,৯৫৫/-</t>
  </si>
  <si>
    <t xml:space="preserve">বিবিধ </t>
  </si>
  <si>
    <t>76 (1)</t>
  </si>
  <si>
    <t>পি ডব্লিউ ডি রেট সিডিউলের নির্দেশনা উপেক্ষা করে পূর্ত নির্মাণ কাজে Earth Filling (মাটি ভরাট) এবং ঝধহফ করষষরহম (বালু ভরাট) এর মূল্য হতে ১৫% Compaction বাবদ অর্থ বাদ না দিয়ে মূল্য পরিশোধ করায় প্রতিষ্ঠানের ৪,৯৬,০৩৬/- টাকা আর্থিক ক্ষক্ষতি।</t>
  </si>
  <si>
    <t>4,28,667/-</t>
  </si>
  <si>
    <t>পিপিআর ২০০৮ বিধি ৮২ উপক্ষো মজুরীর বিনিময়ে সরাসরি শ্রমিক নিয়োগের ক্ষেত্রে বাৎসরিক সিলিং সীমার অতিরিক্ত ব্যয় ৫,৮৬,৮০০/- টাকা।</t>
  </si>
  <si>
    <t>5,86,800/-</t>
  </si>
  <si>
    <t>আর্থিক বিধি অনুসরন না করা</t>
  </si>
  <si>
    <t>ব্যাবস্থাপক, রাউজান, বিদ্যুৎ কেন্দ,্র বিউবো,চট্টগ্রাম।</t>
  </si>
  <si>
    <t>2012-2013</t>
  </si>
  <si>
    <t>ট্রান্সফরমার ক্ষতিগ্রস্ত হওয়ার পরও দায় দায়িত্ব নির্ধারণ না করায় ৯,৬০,০০০/- টাকা ক্ষতি।</t>
  </si>
  <si>
    <t>৯,৬০,০০০/-</t>
  </si>
  <si>
    <t>নির্বাহী প্রকৌশলী বিক্রয় ও বিতরণ বিভাগ,ষোলশহর, বিউবো চট্টগ্রাম।</t>
  </si>
  <si>
    <t>গাড়িতে প্রাপ্যের অতিরিক্ত জ্বালানী তেল ব্যবহার করায় বিউবো'র ৩২৫০৮৫/- টাকা আর্থিক ক্ষতি।</t>
  </si>
  <si>
    <t>325085/-</t>
  </si>
  <si>
    <t>অপচয়</t>
  </si>
  <si>
    <t>পিপিআর ২০০৮ বিধি ৮২ উপেক্ষা করে মজুরীর বিনিময়ে সরাসরি শ্রমিক নিয়োগের বাৎসরিক সিলিং সীমার অতিরিক্ত ৫৬৪০০০/- টাকা অনিয়মিত ব্যয়।</t>
  </si>
  <si>
    <t>564000/-</t>
  </si>
  <si>
    <t>নির্বাহী প্রকৌশলী বিক্রয় ও বিতরণ বিভাগ,পাহারতলী, বিউবো চট্টগ্রাম।</t>
  </si>
  <si>
    <t>জব ডেসক্রিপশন উপেক্ষাকরত: অনিয়মিতভাবে অতিরিক্ত মিটার রিডিং গ্রহনের মাধ্যমে পিস রেট মজুরী বাবদ ১,৫৭,৫১৫ টাকার বিল উত্তোলন</t>
  </si>
  <si>
    <t>১,৫৭,৫১৫/-</t>
  </si>
  <si>
    <t>প্রাতিষ্ঠানিক কর্মচারীদিগকে প্রতিমাসের মূল বেতন অপেক্ষা অধিক হারে অধিকাল ভাতা (ওভার টাইম) বাবদ ২,৮২,৪২,৯৯১ (দুই কোটি বিরাশি লক্ষ বিয়াল্লিশ হাজার নয়শত একানব্বই) টাকা পরিশোধ করে সরকারের আর্থিক ক্ষতি সাধন করা হয়েছে।</t>
  </si>
  <si>
    <t>২,৮২,৪২,৯৯১/-</t>
  </si>
  <si>
    <t>নির্বাহী প্রকৌশলী বিক্রয় ও বিতরণ বিভাগ,পটিয়া, বিউবো চট্টগ্রাম।</t>
  </si>
  <si>
    <t>পিপিআর ২০০৮ উপেক্ষা করে সরাসরি নগদ ক্রয়ে বাৎসরিক সিংলিং সীমার অতিরিক্ত ৩৪৯৩৭৮/- (তিন লক্ষ উনপঞ্চাশ হাজার তিনশত আটাত্তর) টাকা অনিয়মিত ব্যায়</t>
  </si>
  <si>
    <t>3,49,378/-</t>
  </si>
  <si>
    <t>নির্বাহী প্রকৌশলী বিক্রয় ও বিতরণ বিভাগ,বিউবো,রাঙ্গামাটি।</t>
  </si>
  <si>
    <t>2010-2011</t>
  </si>
  <si>
    <t>রক্ষণাবেক্ষণ কাজে লাইন সম্প্রসারণ না করা সত্ত্বেও প্রয়োজনের অতিরিক্ত স্টীল পোল ইস্যু এবং ব্যবহার প্রদর্শণ করায় ৩,০০,৬৬০/- টাকা আর্থিক ক্ষতি ।</t>
  </si>
  <si>
    <t>৩,০০,৬৬০/-</t>
  </si>
  <si>
    <t>নির্বাহী প্রকৌশলী বিক্রয় ও বিতরণ বিভাগ,বিউবো,কক্সবাজার।</t>
  </si>
  <si>
    <t>বেসরকারী ব্যাংক কর্তৃক আদায়কৃত ভ্যাট বাবদ টাকা সরকারী কোষাগারে স্থানান্তর করা হয়নি</t>
  </si>
  <si>
    <t>৫০,৮২,০২৩/-</t>
  </si>
  <si>
    <t>ভ্যাট ও আয়কর</t>
  </si>
  <si>
    <t>মন্ত্রণালয়ের নির্দেশনা লংঘন করার ফলে বিভিন্ন শ্রেণির গ্রাহকদের নিকট বকেয়া বিদ্যুৎ বিল অনাদায়ী। বোর্ড / সরকার রাজস্ব প্রাপ্তি হতে বঞ্চিত।</t>
  </si>
  <si>
    <t>৫২,০৯,০৮৫/-</t>
  </si>
  <si>
    <t>বিদ্যুৎ বিতরণ ব্যবস্থা উন্নয়ন প্রকল্প,চট্টগ্রাম জোন (ফেইজ-১),বিউবো, চট্টগ্রাম</t>
  </si>
  <si>
    <t>অর্থ মন্ত্রনালয়ের নির্দেশনা মোতাবেক প্রকল্প সমাপ্ত হওয়ার পরও সিডিভার্ট এর অব্যয়িত ৫৮,১৬,০৫,৩৬৩/- টাকা সরকারি কোষাগারে জমার বিষয়টি নিশ্চিত করা হয়নি</t>
  </si>
  <si>
    <t>58,16,05,363/</t>
  </si>
  <si>
    <t>76(2)</t>
  </si>
  <si>
    <t xml:space="preserve">পি ডব্লিউ ডি রেড সিডিউলের নির্দেশনা উপেক্ষা করে পূর্ত নির্মান কাজে Earth Filling (মাটি ভরাট) এবং Sand Filling (বালু ভরাট) এর মূল্য হতে 15% Compection বাবদ অর্থ বাদ না দিয়ে মূল্য পরিশোধ করায় প্রতিষ্ঠানের 67,369/- টাকা আর্থিক ক্ষতি। </t>
  </si>
  <si>
    <t>67,369/-</t>
  </si>
  <si>
    <t>নির্বাহী প্রকেীশলী বিক্রয় ও বিতরণ বিভাগ-খুলশী, বিউবো,চট্টগ্রাম।</t>
  </si>
  <si>
    <t>বিধি বর্হিভূতভাবে কর্তব্যরত কর্মকর্তাদের যোগসাজসে পরিবেশ অধিদপ্তর ও ফায়ার সার্ভিসের ছাড়পত্র ছাড়াই অবৈধভাবে উচ্চ বৈদ্যুতিক চাপের বৈদ্যুতিক সংযোগ।</t>
  </si>
  <si>
    <t>74 (1)</t>
  </si>
  <si>
    <t>বিধি বহির্ভূতভাবে দৈনিকভাতা প্রদান করায় সংস্থার আর্থিক ক্ষতি ১,৫১,৯৫২ (এক লক্ষ একান্ন হাজার নয়শত বায়ান্ন) টাকা।</t>
  </si>
  <si>
    <t>1,19,799/-</t>
  </si>
  <si>
    <t>বেতন ও ভাতা</t>
  </si>
  <si>
    <t>নির্বাহী প্রকৌশলী বিক্রয় ও বিতরণ বিভাগ,হালিশহর, বিউবো চট্টগ্রাম।</t>
  </si>
  <si>
    <t>74 (2)</t>
  </si>
  <si>
    <t>32,153/-</t>
  </si>
  <si>
    <t>75 (4)</t>
  </si>
  <si>
    <t>উচ্চ বৈদ্যুতিক চাপের বৈদ্যুতিক সংযোগ প্রত্যাশি গ্রাহকগণ বিদ্যুৎ সংযোগের আবেদন করা সত্ত্বেও নির্দিষ্ট সময়ের মধ্যে বিদ্যুৎ সংযোগ না দেওয়া।</t>
  </si>
  <si>
    <t>76 (2)</t>
  </si>
  <si>
    <t>নির্বাহী প্রকেীশলী বিক্রয় ও বিতরণ বিভাগ-কালুরঘাট, বিউবো,চট্টগ্রাম।</t>
  </si>
  <si>
    <t>73 (4)</t>
  </si>
  <si>
    <t>সীমিত দরপত্র পদ্ধতিতে প্রয়োজনীয় তথ্যাদি দাখিল না করা সত্ত্বেও ঠিকাদারকে রেসপনসিভ হিসাবে মূল্যায়ন পূর্বক অনিয়মিতভাবে ১,৭৬,৫১,৪১১/- টাকার চুক্তি সম্পাদন।</t>
  </si>
  <si>
    <t>22,09,842/-</t>
  </si>
  <si>
    <t>75 (1)</t>
  </si>
  <si>
    <t>73 (5)</t>
  </si>
  <si>
    <t>19,98,213/-</t>
  </si>
  <si>
    <t>75 (2)</t>
  </si>
  <si>
    <t>80 (7)</t>
  </si>
  <si>
    <t>বিদ্যুতের সরবরাহ পয়েন্টে মাসিক গড় পাওয়ার ফেক্টর (পিএফ) এর পরিমাণ নির্ধারিত সীমার (০.৭৫) নীচে নেমে গেলেও গ্রাহকের সংযোগ বিচ্ছিন্ন না করায় বিধি ও পদ্ধতিগত অনিয়ম হয়েছে।।</t>
  </si>
  <si>
    <t>মজুরীর বিনিময়ে সরাসরি শ্রমিক নিয়োগের বাৎসরিক সিলিং সীমার অতিরিক্ত অনিয়মিত ব্যয় ৪,৭১,৫০০ (চার লক্ষ একাত্তর হাজার পাঁচশত) টাকা।</t>
  </si>
  <si>
    <t>4,71,500/-</t>
  </si>
  <si>
    <t>নির্বাহী প্রকেীশলী, বিক্রয় ও বিতরণ বিভাগ-বান্দরবান, বিউবো, বান্দরবান।</t>
  </si>
  <si>
    <t>আদায়কৃত বিদ্যুৎ বিলের টাকা বিউবো'র হিসাবে স্থানান্তরিত না করায় আর্থিক ক্ষতি ৩,০৫,৭৮,৪০৫ (তিন কোটি পাঁচ লক্ষ আটাত্তর হাজার চারশত পাঁচ) টাকা।</t>
  </si>
  <si>
    <t xml:space="preserve"> ৩,০৫,৭৮,৪০৫/- </t>
  </si>
  <si>
    <t>বিদ্যুৎ বিলের টাকা স্থনান্তর</t>
  </si>
  <si>
    <t>80 (6)</t>
  </si>
  <si>
    <t>নির্বাহী প্রকৌশলী বিক্রয় ও বিতরণ বিভাগ,বিউবো,খাগড়াছড়ি।</t>
  </si>
  <si>
    <t>73 (3)</t>
  </si>
  <si>
    <t>6,61,899/-</t>
  </si>
  <si>
    <t>পিপিআর-২০০৮ লংঘন করে আরএফকিউ পদ্ধতিতে সেবা গ্রহণের জন্য সেবা প্রদানকারী প্রকৃত প্রতিষ্ঠান হতে কোটেশন গ্রহণ না করে ভিন্ন প্রতিষ্ঠান হতে কোটেশন গ্রহণের মাধ্যমে অনিয়মিতভাবে পছন্দের ঠিকাদার নির্বাচন করে ১৬,৮৮,৩৪০ (যোল লক্ষ অষ্টাশি হাজার তিনশত চল্লিশ) টাকা পরিশোধ করে সরকারী অর্থের অপচয় করা হয়েছে।</t>
  </si>
  <si>
    <t>১৬,৮৮,৩৪০/-</t>
  </si>
  <si>
    <t>2023-2024</t>
  </si>
  <si>
    <t>76(১)</t>
  </si>
  <si>
    <t>অব্যবহারযোগ্য মালামাল দীর্ঘদিন স্টোরে পরে থাকার পরও কনডেমনেশন/নিলাম না করায় বিউবোর ০০ টাকা আর্থিক ক্ষতি।</t>
  </si>
  <si>
    <t>অনিয়মিতভাবে মশক নিধণ বাবদ ৯,৯৬,৪৬৫ (নয়লক্ষ ছিয়ানব্বই হাজার চারশত পয়ষট্টি) টাকা ব্যয়।</t>
  </si>
  <si>
    <t xml:space="preserve"> ৯,৯৬,৪৬৫/-</t>
  </si>
  <si>
    <t>76(৪)</t>
  </si>
  <si>
    <t>অব্যবহারযোগ্য মালামাল দীর্ঘদিন স্টোরে পরে থাকার পরও কনডেমনেশন/নিলাম না করায় বিউবোর ৪৬,৬৩,২৯৯/- টাকা আর্থিক ক্ষতি।</t>
  </si>
  <si>
    <t>৪৬,৬৩,২৯৯/-</t>
  </si>
  <si>
    <t>আর্দশ দরপত্র দলিল এর আইটিটি ক্লজের শর্ত পরিবর্তন করে পছন্দের ঠিকাদারকে রেসপনসিভ হিসেবে মূল্যায়ন পূর্বক অনিয়মিতভাবে চুক্তিসম্পাদন।</t>
  </si>
  <si>
    <t>২,৫১,৬৪,৯৯৯/-</t>
  </si>
  <si>
    <t xml:space="preserve">যথাযথ ডকুমেন্ট দাখিল না করা সত্বেও ঠিকাদারের প্রতি আনুকূল্য করে অনিয়মিতভাবে ৫,৯৭,৫৩০/- টাকার চুক্তি সম্পাদন। </t>
  </si>
  <si>
    <t>৫,৯৭,৫৩০/</t>
  </si>
  <si>
    <r>
      <t xml:space="preserve">শিরোনাম : </t>
    </r>
    <r>
      <rPr>
        <sz val="11"/>
        <color rgb="FF000000"/>
        <rFont val="NikoshBAN"/>
      </rPr>
      <t>প্রত্যাশি সংস্থার চাহিদাপত্র ও প্রত্যয়নপত্র না থাকার পরও কার্য সম্পাদন দেখিয়ে বিল পরিশোধ করায় বোর্ডের ৫৮৩৭৬২২ (আটান্ন লক্ষ সাঁইত্রিশ হাজার ছয়শত বাইশ) টাকা আর্থিক ক্ষতি ।</t>
    </r>
  </si>
  <si>
    <r>
      <t xml:space="preserve">শিরোনাম : </t>
    </r>
    <r>
      <rPr>
        <sz val="11"/>
        <color rgb="FF000000"/>
        <rFont val="NikoshBAN"/>
      </rPr>
      <t>অর্জিত পাওয়ার ফেক্টরের চেয়ে কম পাওয়ার ফেক্টর প্রদর্শন করে এনাজি পেমেন্ট করায় পিডিবির আর্থিক ক্ষতি 5215294 (বায়ান্ন লক্ষ পনের হাজার দুইশত চরানব্বই) টাকা।</t>
    </r>
  </si>
  <si>
    <t>অনিষ্পন্ন অডিট আপত্তির প্রতিবেদন্ত</t>
  </si>
  <si>
    <t>কুমিল্লা জোন (17-06-2026 পর্যন্ত)</t>
  </si>
  <si>
    <t xml:space="preserve">ক্রমিক নং </t>
  </si>
  <si>
    <r>
      <rPr>
        <sz val="8"/>
        <color indexed="8"/>
        <rFont val="Times New Roman"/>
        <family val="1"/>
      </rPr>
      <t>Non SFI</t>
    </r>
    <r>
      <rPr>
        <sz val="8"/>
        <color indexed="8"/>
        <rFont val="SutonnyMJ"/>
      </rPr>
      <t xml:space="preserve">   (সাধারণ)</t>
    </r>
  </si>
  <si>
    <r>
      <rPr>
        <sz val="8"/>
        <color indexed="8"/>
        <rFont val="Times New Roman"/>
        <family val="1"/>
      </rPr>
      <t>SFI</t>
    </r>
    <r>
      <rPr>
        <sz val="8"/>
        <color indexed="8"/>
        <rFont val="SutonnyMJ"/>
      </rPr>
      <t xml:space="preserve"> (অগ্রিম) </t>
    </r>
  </si>
  <si>
    <t>মোট আপত্তির সংখ্যা</t>
  </si>
  <si>
    <r>
      <t xml:space="preserve"> ত্রি পক্ষীয় সভায় আলোচনা (</t>
    </r>
    <r>
      <rPr>
        <sz val="8"/>
        <color indexed="8"/>
        <rFont val="Times New Roman"/>
        <family val="1"/>
      </rPr>
      <t>SFI)</t>
    </r>
  </si>
  <si>
    <r>
      <t xml:space="preserve"> ত্রি পক্ষীয় সভায় সুপারিশ </t>
    </r>
    <r>
      <rPr>
        <sz val="8"/>
        <color indexed="8"/>
        <rFont val="Times New Roman"/>
        <family val="1"/>
      </rPr>
      <t xml:space="preserve">(SFI) </t>
    </r>
  </si>
  <si>
    <r>
      <t xml:space="preserve">ব্রডশীট জবাব প্রেরণ  </t>
    </r>
    <r>
      <rPr>
        <sz val="8"/>
        <color indexed="8"/>
        <rFont val="Times New Roman"/>
        <family val="1"/>
      </rPr>
      <t xml:space="preserve">SFI </t>
    </r>
  </si>
  <si>
    <t>বিক্রয় ও বিতরন বিভাগ- 1, Kzwgল্লা</t>
  </si>
  <si>
    <t>বিক্রয় ও বিতরন বিভাগ- 2, Kzwgল্লা</t>
  </si>
  <si>
    <t>বিক্রয় ও বিতরন বিভাগ- 3, Kzwgল্লা</t>
  </si>
  <si>
    <t>চৌদ্দগ্রাম বিদ্যুৎ সরবরাহ</t>
  </si>
  <si>
    <t>Pvu`cyi 150 †gtIt we`y¨r †K›`ª</t>
  </si>
  <si>
    <t>বিক্রয় ও বিতরন বিভাগ- চাঁদপুর</t>
  </si>
  <si>
    <t>বিক্রয় ও বিতরন বিভাগ- নোয়াখালী</t>
  </si>
  <si>
    <t>jÿxcyi we`y¨r mieivn</t>
  </si>
  <si>
    <t xml:space="preserve"> †PŠgynbx we`y¨r mieivn</t>
  </si>
  <si>
    <t>বিক্রয় ও বিতরন বিভাগ- ফেনী</t>
  </si>
  <si>
    <t>বিক্রয় ও বিতরন বিভাগ- 1, বি,বাড়িয়া</t>
  </si>
  <si>
    <t>বিক্রয় ও বিতরন বিভাগ- 2, বি,বাড়িয়া</t>
  </si>
  <si>
    <t>বিতরণ ব্যবস্থা উন্নয়ন প্রকল্প, কুমিল্লা জোন</t>
  </si>
  <si>
    <t>হাতিয়া নিঝুমদ্বীপ শতভvগ বিদ্যূতায়ন প্রকল্প</t>
  </si>
  <si>
    <t>‡gvU</t>
  </si>
  <si>
    <t>নির্বাহী প্রকৌশলী, বিক্রয় ও বিতরণ বিভাগ-১, বিউবো, কুমিল্লা</t>
  </si>
  <si>
    <t>ক্ষুদ্রশিল্প এবং কৃষি সেচ সংযোগ এর গ্রাহক লেজার জমা কলামে ভূয়া পুষ্টিং দেওয়ার মাধ্যমে বোর্ডের ৯৭,৭২,১৬৫/৩২ টাকার রাজসব আত্তসাৎ</t>
  </si>
  <si>
    <t>আত্মসাৎ</t>
  </si>
  <si>
    <t>১৯৯৫-১৯৯৭</t>
  </si>
  <si>
    <t>৭(খ)</t>
  </si>
  <si>
    <t>১৯,৪১৯/২৫ টাকার মূল্যের বিভিন্ন মালামাল ভান্ডার হইতে চুরি বোডের আর্থিক ক্ষতি ১৯৪১৯/-</t>
  </si>
  <si>
    <t>১৯৯৭-২০০২</t>
  </si>
  <si>
    <t>৫ বৎসর ক্যাশের স্থিতি বাস্তব প্রতিবাদন না করায় ক্যাশ তছরুফ ।</t>
  </si>
  <si>
    <t>আত্বসাৎকৃত ১১,২১,৭৫১/-টাকা আদায় না করেই পুনরায় জনাব লুৎফুর, জে এ এ সাবেক ক্যাশিয়ারকে আগাম হিসাব ৯৬৩৬১৬/- টাকা প্রদান সরকারী স্বার্থ উপেক্ষিত।</t>
  </si>
  <si>
    <t>২৭(৯)</t>
  </si>
  <si>
    <t>সংযোগ বিচ্ছিন্ন গ্রাহকের নিকট হতে দীর্ঘদিন যাবৎ বকেয়া আদায় না করায় প্রতিষ্ঠানের আর্থিক ক্ষতি --- টাকা ।</t>
  </si>
  <si>
    <t>৩০(৪)</t>
  </si>
  <si>
    <t>বিদ্যুৎ বিল হতে আদায়কৃত ভ্যাট যথাসময়ে সরকারি কোষাগারে জমা না করা সত্বেও দন্ডসুদ আরোপ না করায় সরকারের আর্থিক ক্ষতি --- টাকা ।</t>
  </si>
  <si>
    <t>বিদ্যুৎ বিলের অর্থ স্থানান্তর</t>
  </si>
  <si>
    <t>সন্তানদের নির্ধারিত বয়সসীমা ২৩ বছর অতিক্রান্ত হওয়ার পরেও কর্মচারীদেরকে শিক্ষা সহায়ক ভাতা প্রদান করায় বিউবোওর আর্থিক ক্ষতি ৭,৭৫,১৩০/-(সাত লক্ষ পঁচাত্তর হাজার একশত ত্রিশ) টাকা।</t>
  </si>
  <si>
    <t>প্রি-পেইড মিটার সংযোগের পূর্বে আদায়কৃত নিরাপত্তা জামানত ফেরত প্রদান না করায় গ্রাহকের ২৯,০৪,৭৫০/-( ঊনত্রিশ লক্ষ চার হাজার সাতশত পঞ্চাশ) টাকা ক্ষতি।</t>
  </si>
  <si>
    <t>নিখোঁজ বিভিন্ন শ্রেণির গ্রাহকের নিকট হতে বিদ্যুৎ বিল বাবদ অনাদায়ী বকেয়া আদায় না করায় প্রতিষ্ঠানের আর্থিক ক্ষতি ৩৩,৬৬,৩২৯/-টাকা ।</t>
  </si>
  <si>
    <t>অর্থ বিভাগের সরকারি অর্থ ব্যয়ে কৃচ্ছ্র সাধনের নির্দেশনা লঙ্ঘন করে অতিরিক্ত ১২,১১,৮২১/-টাকা অনিয়মিত ব্যয়।</t>
  </si>
  <si>
    <t>নিখোজ গ্রাহকের নিকট হতে  বিদ্যুৎ বিল বাবদ বকেয়া আদায় না করায়  প্রতিষ্ঠানের আর্থিক ক্ষতি ৩৪,৮৯,৪৮৭/- টাকা</t>
  </si>
  <si>
    <t>সংযোগ বিচ্ছিন্ন গ্রাহকের নিকট হতে বকেয়া আদায় না করায় প্রতিষ্ঠানের  ৭,৬৯,৩৯৫/-  আর্থিক ক্ষতি হয়েছে।  সাতচল্লিশ) টাকা।</t>
  </si>
  <si>
    <t xml:space="preserve">পোষ্ট পেইড মিটার পরিবর্তন করে গ্রাহকের প্রি-পেইড মিটার সংযোগ প্রদানের সময় জমাকৃত নিরাপত্তা জামানত বাবদ  ৯৫,৮৬,০০০/- টাকা ফেরত প্রদান করা হয়নি। </t>
  </si>
  <si>
    <t xml:space="preserve">মন্ত্রনালয়ের নির্দেশনা উপেক্ষা করে বিদ্যুতের সরবরাহ পয়েন্টের গড় পাওয়ার ফ্যাক্টর (পিএফ) নির্ধারিত সীমার (০.৭৫)নিচে থাকা সত্বেও গ্রাহকের বৈদ্যুতিক সংযোগ বিচ্ছিন্ন করা হয়নি। </t>
  </si>
  <si>
    <t xml:space="preserve"> পূর্ববর্তী অর্থবছরের বিল একাউন্টস পেয়েবল ভাউচার (এপিভি) এর মাধ্যমে দায় সৃষ্টি করে পরিশোধ করায় বোর্ডের অনিয়মিত ব্যয় ৩,৪৩,১২,২১২ টাকা।</t>
  </si>
  <si>
    <t xml:space="preserve"> নিখোঁজ গ্রাহকের নিকট হতে বিদ্যুৎ বিল বাবদ বকেয়া আদায় না করায় প্রতিষ্ঠানের আর্থিক ক্ষতি ৬৬৫৭০৭৩৩ টাকা</t>
  </si>
  <si>
    <t>বকেয়া</t>
  </si>
  <si>
    <t xml:space="preserve"> নিম্ন দরের দরদাতাকে নন রেসপন্সিভ দেখিয়ে উর্ধ্বদরের দরদাতার সহিত চুক্তি সম্পাদনের মাধ্যমে অনিয়মিত ব্যয় ১,২৫,০৮,৫৫৮ টাকা।</t>
  </si>
  <si>
    <t>টেন্ডার সংক্রান্ত</t>
  </si>
  <si>
    <t>নির্বাহী প্রকৌশলী, বিক্রয় ও বিতরণ বিভাগ-২, বিউবো, কুমিল্লা</t>
  </si>
  <si>
    <t>সংযোগ বিচ্ছিন্ন গ্রাহকের নিকট বকেয়া।</t>
  </si>
  <si>
    <t>২০০৮-২০০৯</t>
  </si>
  <si>
    <t>গ্রাহক অনুসন্ধান না করেই বিদ্যুৎ সংযোগ প্রদান এবং পরবর্তীতে এ সমন্ত গ্রাহকের অস্তিত্ব খুঁজে না পাওয়ার কারনে বিউবোর রাজস্বে ঘাটতি ৬,৫০,৬১৪.০০ টাকা।</t>
  </si>
  <si>
    <t>১১ জন "ই" শ্রেনী গ্রাহক হতে সংযোগ বিচ্ছিন্ন পূর্ব সময়ের বকেয়া আদায় না করায় সরকারী রাজস্ব ক্ষতি ২,১১,০৮০/- টাকা।</t>
  </si>
  <si>
    <t>বিপুল পরিমান বকেয়া বিদ্যুৎ বিল আদায়ে ব্যর্থতা জনিত কারনে সংস্থার রাজস্ব আদায় হতে বঞ্চিত মোট জড়িত টাকার পরিমান = ৫,৯৪,১৪,৬০৯.০০ টাকা।</t>
  </si>
  <si>
    <t>ভ্রমন ভাতা বাবদ অতিরিক্ত বিল পরিশোধে ক্ষতি = ৭০,৯৮৬.০০।</t>
  </si>
  <si>
    <t>অনুমোদিত হারের চেয়ে বিভিন্ন ফিডারে অতিরিক্ত সিষ্টেম লসের কারনে ক্ষতি ৭১,২৮,২০৬.০০ টাকা।</t>
  </si>
  <si>
    <t>দীর্ঘ দিন যাবৎ বিদ্যুৎ বিল বাবদ ৮২,৭৯,৬৫৭.০০ টাকা বকেয়া থাকলেও সংযোগ বিচ্ছিন্ন করা হয়নি।</t>
  </si>
  <si>
    <t>ভ্যাট বাবদ আদায়কৃত ৮১,৯০,৮৫৮.০০ টাকা সরকারী কোষাগারে জমা করা হয় নাই।</t>
  </si>
  <si>
    <t>সর্বনিম্ন ৪৪ মাস হতে সর্বোচ্চ ১৫৪ মাস বা ১২ বৎসর ১০ মাস পর্যন্ত বকেয়াধারী গ্রাহকদের নিকট হতে ৪৭,০৬,৯৮০.০০ টাকা বকেয়া অনাদায়ী।</t>
  </si>
  <si>
    <t>জাতীয় রাজস্ব বোর্ডের নির্দেশনা অনুযায়ী উৎস কর কর্তন না করায় সরকারের রাজস্ব ক্ষতি ৪৪,২৬৩.০০ টাকা।</t>
  </si>
  <si>
    <t>প্রধান মন্ত্রীর কার্যালয়ের আদেশ লংঘন পূর্বক মঞ্জুরীকৃত পদেও বাহিরে অতিরিক্ত পদের কর্মচারীদের বেতন ভাতা বাবদ ৬৬,৩৪,৫৭২/-</t>
  </si>
  <si>
    <t>২০১৫-২০১৮</t>
  </si>
  <si>
    <t>পিপিআর-২০০৮ এর বিধি উপেক্ষা করে শ্রমিক মজুরী বাবদ অতিরিক্ত পরিশোধে বোর্ডের আর্থিক ক্ষতি।</t>
  </si>
  <si>
    <t>সেট আপ বহির্ভূত কর্মকর্তা/কর্মচারীদের বেতন ভাতাদি পরিশোধে বোর্ডের আর্থিক ক্ষতি।</t>
  </si>
  <si>
    <t>বিক্রয় ও বিতরণ বিভাগ-২, বিউবো,কুমিল্লা দপ্তরের আওতাধীন বিভিন্ন ডিষ্ট্রবিউশন সিষ্টেমের রেনোভেশন/উন্নয়ন কাজে অনিয়মিতভাবে ঠিকাদারকে অর্থ পরিশোধ।</t>
  </si>
  <si>
    <t>বিভিন্ন শ্রেণির নিয়মিত গ্রাহকের নিকট হতে বিদ্যুৎ বিল বাবদ অনাদায়ী বকেয়া আদায় না করায় প্রতিষ্ঠানের আর্থিক ক্ষতি ৩৪,৮৬,৮৯৮/-টাকা।</t>
  </si>
  <si>
    <t>বিদ্যুৎ আইন-২০১৮ এর নির্দেশনা মোতাবেক প্রি- পেইড মিটার প্রতিস্থাপনের সময় বিভিন্ন শ্রেণির গ্রাহকের নিকট হতে পূর্বের বকেয়া আদায় না করায় প্রতিষ্ঠানের আর্থিক ক্ষতি ৩,০৫,৭৬৫/-টাকা।</t>
  </si>
  <si>
    <t>অর্থ বিভাগের ব্যয় সংকোচন সংক্রান্ত নির্দেশনা লঙ্ঘন করে বিভিন্ন খাতে অনিয়মিত ব্যয় ৭,৫৬,৮৬৬/-টাকা।</t>
  </si>
  <si>
    <t>২০২৩-২৪</t>
  </si>
  <si>
    <t>বিভিন্ন শ্রেনীর গ্রাহকের নিকট হতে বকেয়া বিদ্যুৎ বিল আদায় না করায় প্রতিষ্ঠানের আর্থিক ক্ষতি  ২৯,৮১,৫৮৮/- টাকা</t>
  </si>
  <si>
    <t>সংযোগ বিচ্ছিন্ন গ্রাহকের নিকট হতে বকেয়া আদায় না করায় প্রতিষ্ঠানের  ১৬,৩৭,৭৬৬/-  আর্থিক ক্ষতি হয়েছে।  সাতচল্লিশ) টাকা।</t>
  </si>
  <si>
    <t xml:space="preserve">পোষ্ট পেইড মিটার পরিবর্তন করে গ্রাহকের প্রি-পেইড মিটার সংযোগ প্রদানের সময় জমাকৃত নিরাপত্তা জামানত বাবদ ১,৩৭,৬৯,২০০/-  টাকা ফেরত প্রদান করা হয়নি। </t>
  </si>
  <si>
    <t>নিখোঁজ গ্রাহকের নিকট হতে বিদ্যুৎ বিল বাবদ বকেয়া আদায় না করায় প্রতিষ্ঠানের আর্থিক ক্ষতি ৬৬৫৭০৭৩৩ টাকা</t>
  </si>
  <si>
    <t>নিম্ন দরের দরদাতাকে নন রেসপন্সিভ দেখিয়ে উর্ধ্বদরের দরদাতার সহিত চুক্তি সম্পাদনের মাধ্যমে অনিয়মিত ব্যয় ১,২৫,০৮,৫৫৮ টাকা।</t>
  </si>
  <si>
    <t>বিধি বহির্ভূতভাবে মধ্যমচাপ (এমটি) গ্রাহকের জন্য প্রযোজ্য অনাপত্তি ছাড়পত্র ব্যতীত বৈদ্যুতিক সংযোগ প্রদান।</t>
  </si>
  <si>
    <t>বিধি লঙ্ঘন</t>
  </si>
  <si>
    <t>নির্বাহী প্রকৌশলী, বিক্রয় ও বিতরণ বিভাগ-৩, বিউবো, কুমিল্লা</t>
  </si>
  <si>
    <t>দরপত্রের শর্ত উপেক্ষা করে নন-রেসপনসিভ দরদাতাকে রেসপনসিভ দেখিয়ে অস্বাভাবিক উর্দ্ধদরে ১,৩৩,৬০,১৪০/- টাকার কার্য্যাদেশ প্রদান।</t>
  </si>
  <si>
    <t>বকেয়া গ্রাহকের নিকট হতে বকেয়া বিদ্যুৎ বিল আদায় না করায় বিউবোর রাজস্ব ক্ষতি।</t>
  </si>
  <si>
    <t>আঞ্চলিক মেরামত কারখানার স্থানীয় ভান্ডারে মজুত সংক্রামত্ম প্রতিবেদন ছাড়াই অনিয়মিতভাবে মালামাল সরবরাহ গ্রহণ।</t>
  </si>
  <si>
    <t>সংযোগ বিচ্ছিন্ন গ্রাহকের নিকট হতে বকেয়া বিদ্যুৎ বিল আদায় না করায় বিউবো’র রাজস্ব ক্ষতি।</t>
  </si>
  <si>
    <t>২৭(৮)</t>
  </si>
  <si>
    <t>২৮(১৩)</t>
  </si>
  <si>
    <t>বিভিন্ন শ্রেনীর গ্রাহকের নিকট হতে  বকেয়া বিদ্যুৎ বিল আদায় না করায় প্রতিষ্ঠানের আর্থিক ক্ষতি --- টাকা।</t>
  </si>
  <si>
    <t>৩০(৩)</t>
  </si>
  <si>
    <t>বকেয়া আদায়</t>
  </si>
  <si>
    <t>মন্ত্রনালয়ের নির্দেশনা প্রতিপালন না করে জমাকৃত নিরাপত্তা জামানত বাবদ ১০২৫০৫৬৫০ টাকা ফেরত না দিয়েই পোষ্ট পেইড মিটার পরিবর্তন করে গ্রাহকের প্রি-পেইড মিটার সংযোগ প্রদান।</t>
  </si>
  <si>
    <t>নির্বাহী প্রকৌশলী, বিক্রয় ও বিতরণ বিভাগ, চৌদ্দগ্রাম</t>
  </si>
  <si>
    <t>১৯৯১-১৯৯৫</t>
  </si>
  <si>
    <t>বিদ্যুৎ বিল বকেয়াসহ কুমিল্লা পল্লী বিদ্যুৎ সমিতির -২ এর নিকট হস্তান্তরকৃত বকেয়া ৫৭,১২,৩৯৪/- টাকা অনাদায়ে বোর্ডের আর্থিক ক্ষতি।</t>
  </si>
  <si>
    <t xml:space="preserve">ব্যবস্থাপক, চাঁদপুর ১৫০ মেঃওঃ  বিদ্যুৎ কেন্দ্র </t>
  </si>
  <si>
    <t>কর্মচারীদের অধিকালভাতা বাবদ এবং মূল বেতনের অধিক হারে অধিকাল ভাতা প্রদান করায় ক্ষতি ৩,৭৭,১৮০/-</t>
  </si>
  <si>
    <t>আবাসিক এলাকায় বসবাসরত কর্মকর্তা ও কর্মচারীদের ব্যবহারিত গ্যাসের বিল অনিয়মিতভাবে অফিসের বরাদ্দ হতে প্রদান করায় সরকারর ১,৪৬,৮৯০/- আর্থিক ক্ষতি।</t>
  </si>
  <si>
    <t xml:space="preserve">নির্বাহী প্রকৌশলী, বিক্রয় ও বিতরণ বিভাগ, বিউবো, চাঁদপুর। </t>
  </si>
  <si>
    <t>পল্লী বিদ্যুৎ সমিতি, হাজিগঞ্জ, চাঁদপুর এর নিকট বিদুল বিল বাবদ ১৯,০৯,৫২৭/- টাকা বকেয়া রহিয়াছে। বোর্ডের প্রাপ্য অর্থ বহির্ভূত ভাবে অন্যকে ব্যবসা করার সুযোগ সৃষ্টি করা হইয়াছে।</t>
  </si>
  <si>
    <t>১৯৯৬-২০০১</t>
  </si>
  <si>
    <t>এইচ টি গ্রাহকদের নিকট ১,৪৪,৭২,৯৭২/- টাকা অনাদায়ী।</t>
  </si>
  <si>
    <t>বিদ্যুৎ এর মূল্যহার ও নিয়মাবলী উপেক্ষা করিয়া ৩(তিন)জন গ্রাহকের নিকট হইতে ৪১,৭৬,৩২৩/- টাকা আদায় না করায় বোর্ডের ক্ষতি।</t>
  </si>
  <si>
    <t>বিভিন্ন শ্রেনীর গ্রাহক ও ব্যাক্তি প্রতিষ্ঠানের নিকট বিদ্যুৎ বিলের বকেয়া বাবদ ৩৭,২৭,৪৮০/- টাকা অনাদায়ী।</t>
  </si>
  <si>
    <t>বিদ্যুৎ সংযোগ বিচ্ছিন্ন গ্রাহকের নিকট বিদ্যুৎ বিল বাবদ ৪৪,৯৭,২৩৫/- টাকা বকেয়া।</t>
  </si>
  <si>
    <t>বিভিন্ন আধা-সরকারী ও স্বায়ত্বশাসিত প্রতিষ্ঠানের নিকট বিদ্যুৎ বিল বাবদ ১১,৫০,১৪,৭৩৩/- টাকা বকেয়া।</t>
  </si>
  <si>
    <t>বিভিন্ন শ্রেনীর গ্রাহকের নিকট দীর্ঘদিন যাবৎ বিদ্যুৎ বিল বকেয়া থাকা সত্বেও সংযোগ বিচ্ছিন্ন করা হয়নি। জড়িত অর্থ ২৩,৬৮,৯৪৯/-</t>
  </si>
  <si>
    <t>গ্রাহকদের নিকট হইতে ভ্যাট বাবদ আদায়কৃত ২৩,৯৬,৫৭৯/- টাকা সরকারী কোষাগারে জমা করা হয়নি।</t>
  </si>
  <si>
    <t>নির্বাহী প্রকৌশলী, বিক্রয় ও বিতরণ বিভাগ, বিউবো, চাঁদপুর।</t>
  </si>
  <si>
    <t>২৯(৩)</t>
  </si>
  <si>
    <t>টার্গেট অনুযায়ী ( CI Ratio )লক্ষ মাত্রা অর্জনে ব্যর্থ হওয়ার পরও কর্মকর্তা কর্মচারীদের অনিয়মিতভাবে  অচঅ   বোনাস প্রদান করায় প্রতিষ্ঠানের আর্থিক ক্ষতি --- টাকা ।</t>
  </si>
  <si>
    <t>৩০(২)</t>
  </si>
  <si>
    <t>প্রি-পেইড মিটার সংযোগ মিটার সংযোগের পূর্বে জমাকৃত নিরাপত্তা জামানত ফেরত প্রদান না করায় গ্রাহকের  --- টাকা  আর্থিক ক্ষতি ।</t>
  </si>
  <si>
    <t>বিভিন্ন শ্রেনীর গ্রাহকের নিকট হতে বকেয়া বিদ্যুৎ বিল আদায় না করায় প্রতিষ্ঠানের আর্থিক ক্ষতি ৫৭,৯৬,০৫৪/- টাকা</t>
  </si>
  <si>
    <t xml:space="preserve">সংযোগ বিচ্ছিন্ন গ্রাহকের নিকট হতে বকেয়া আদায় না করায় প্রতিষ্ঠানের  ২,৭৫,০৪০/- টাকা   আর্থিক ক্ষতি হয়েছে। </t>
  </si>
  <si>
    <t>নির্বাহী প্রকৌশলী, বিতরণ বিভাগ, বিউবো, নোয়াখালী।</t>
  </si>
  <si>
    <t>বিভিন্ন শ্রেণীর গ্রাহকের নিকট ১,৭১,৮৭,০৪৩/- টাকা বকেয়া অনাদায়ী। উক্ত টাকা সত্ত্বর আদায়যোগ্য</t>
  </si>
  <si>
    <t>এক মাসের মূল বেতন অপো দ্বিগুন হারে অধিকাল ভাতা বাবদ ১০,৭৪,৫৬৩/- বেশী প্রদান করিয়া বোর্ডের আর্থিক ক্ষতি।</t>
  </si>
  <si>
    <t>খেলাপী গ্রাহকের নিকট থেকে বকেয়া আদায়ের পদপে গ্রহন না করায় আর্থিক তি।</t>
  </si>
  <si>
    <t>বেসরকারী বাণিজ্যিক ব্যাংক কর্তৃক বিদ্যুৎ বিলের সাথে সংগৃহীত ভ্যাট ০২ বৎসর যাবৎ কোষাগারে জমা না করায় এবং জরিমানা আরোপ এবং আদায়ের পদপে গ্রহন না করায় ক্ষতি।</t>
  </si>
  <si>
    <t>সংযোগ বিচ্ছিন্ন গ্রাহক গণের নিকট বিদ্যুৎ বিল বাবদ ১৯,২৯,৯৭৪/- টাকা বকেয়া পড়ে রয়েছে। বোর্ডের আর্থিক ক্ষতি।</t>
  </si>
  <si>
    <t>সংযোগ বিচ্ছিন্ন গ্রাহক গণের নিকট বিদ্যুৎ বিল বাবদ ১৯,৩২,৭৩৫/- টাকা বকেয়া পড়ে রয়েছে। বোর্ডের আর্থিক ক্ষতি।</t>
  </si>
  <si>
    <t>বিভিন্ন শ্রেণির গ্রাহকের নিকট বিদ্যুৎ বিল বাবদ ৫৮,৩৮,৯৮৬/- টাকা অনাদায়ী। বোর্ডের আর্থিক ক্ষতি।</t>
  </si>
  <si>
    <t>২৯(২)</t>
  </si>
  <si>
    <t>টার্গেট অনুযায়ী ( CI Ratio )লক্ষ মাত্রা অর্জনে ব্যর্থ হওয়ার পরও কর্মকর্তা কর্মচারীদের অনিয়মিতভাবে  অচঅ   বোনাস প্রদান করায় প্রতিষ্ঠানের আর্থিক ক্ষতি ৯,৯২,৫০০ টাকা।</t>
  </si>
  <si>
    <t>৩০(১)</t>
  </si>
  <si>
    <t>বিদ্যুৎ বিল হতে আদায়কৃত ভ্যাট যথাসময়ে সরকারি কোষাগারে জমা না করা সত্বেও দন্ডসুদ আরোপ না করায় সরকারের আর্থিক ক্ষতি ৪১,২৪,৩২৫ টাকা ।</t>
  </si>
  <si>
    <t>৩২(৩)</t>
  </si>
  <si>
    <t>প্রি-পেইড মিটার সংযোগ মিটার সংযোগের পূর্বে জমাকৃত নিরাপত্তা জামানত ফেরত প্রদান না করায় গ্রাহকের ৪২,৯১,৮০০ টাকা  আর্থিক ক্ষতি ।</t>
  </si>
  <si>
    <t>৪৪(১২)</t>
  </si>
  <si>
    <t>প্রি-পেইড মিটার প্রতি স্থাপনের সময় বিভিন্ন শ্রেনীর গ্রাহকের নিকট হতে পূর্বের বকেয়া আদায় না করায় প্রতিষ্টানের  আর্থিক ক্ষতি ৩০,৫৬,১৭৭ টাকা ।</t>
  </si>
  <si>
    <t>একই ধরনের কাজকে একাধিক প্যাকেজে বিভক্ত করে এলটিএম এর মাধ্যমে সম্পাদন করে অনিয়মিত ভাবে ৭৫,৬৭,৫০২ টাকার কার্যসম্পাদন ।</t>
  </si>
  <si>
    <t>১৭..৬</t>
  </si>
  <si>
    <t xml:space="preserve">প্রি-পেইড মিটার প্রতিস্থাপনের সময় গ্রাহকের নিকট হতে পূর্বের বকেয়া আদায় না করায় প্রতিষ্ঠানের আর্থিক ক্ষতি ৫৯,১৯,৭৬৩/-টাকা </t>
  </si>
  <si>
    <t>বিভিন্ন শ্রেনীর গ্রাহকের নিকট হতে বকেয়া বিদ্যুৎ বিল আদায় না করায় প্রতিষ্ঠানের আর্থিক ক্ষতি ৯৩,৫৯,৫৩৪/- টাকা</t>
  </si>
  <si>
    <t xml:space="preserve">সংযোগ বিচ্ছিন্ন গ্রাহকের নিকট হতে বকেয়া আদায় না করায় প্রতিষ্ঠানের  ৭৩,৪৫,৩৬৯/- টাকা  আর্থিক ক্ষতি হয়েছে।  </t>
  </si>
  <si>
    <t xml:space="preserve">নির্বাহী প্রকৌশলী, বিক্রয় ও বিতরণ বিভাগ, বিউবো, লক্ষীপুর </t>
  </si>
  <si>
    <t>২০০৫-২০১৩</t>
  </si>
  <si>
    <t>বেসরকারী বাণিজ্যিক ব্যাংক কর্তৃক সংগৃহীত রাজস্ব উক্ত বোর্ডের তহবিলে যথাসময়ে জমা না করে নিজস্ব তহবিল হিসেবে ব্যবহার করা সত্ত্বেও সুদ আদায় না করায় ১৩,০৬,৮৫৯/- টাকা আর্থিক ক্ষতি।</t>
  </si>
  <si>
    <t>নির্ধারিত সময়ে ভ্যাট জমা না করায় বাণিজ্যিক ব্যাংক এবং বিভাগীয় কর্মকর্তাগনের নিকট হতে ৫,৬৮,৯৮১/- টাকা আদায়যোগ্য।</t>
  </si>
  <si>
    <t>২০১১-২০১২ অর্থ বছরে সংযোগ বিচ্ছিন্ন ১,৫২৭ জন গ্রাহকের নিকট হতে ট্যারিফ বিধির নির্দেশের আলোকে ফি আদায় না করে পুনঃ সংযোগ প্রদান করায় ৮,১৩,৮১০/- টাকা আর্থিক ক্ষতি।</t>
  </si>
  <si>
    <t>গ্রাহকদের নিকট হতে পিএফসি শুদ্ধকরণ চার্জ আদায় না করায় বোর্ড ৩,৪৬,৫৯৬/- টাকার রাজস্ব প্রাপ্তি হতে বঞ্চিত। উক্ত অনিয়মের জন্য প্রশাসনিক ব্যবস্থা গ্রহণ করা প্রয়োজন।</t>
  </si>
  <si>
    <t>পিপিআর-২০০৮ এর বিধি ১২৭ উপেক্ষা করে ঠিকাদারদের সাথে যোগসাজসের মাধ্যমে অনিয়মিতভাবে ১৫,৯৫,৫২৫/- টাকার ক্রয় কার্য সম্পাদন। দায়-দায়িত্ব নির্ধারণ পূর্বক প্রশাসনিক ব্যবস্থা গ্রহন করা প্রয়োজন।</t>
  </si>
  <si>
    <t>চুক্তিপত্রের শর্তানুযায়ী রাজস্ব আদায়কারী ব্যাংক কর্তৃক মূসক বাবদ আদায়কৃত অর্থ নির্ধারিত সময়ে সরকারী কোষাগারে জমা না দেয়ায় সরকারের রাজস্ব ক্ষতি ১৭,৮৮,০০৯/- টাকা। দায়-দায়িত্ব নির্ধারণ পূর্বক সুদসহ ক্ষতির টাকা অতিস্বত্ত্বর জমা প্রদান প্রয়োজন।</t>
  </si>
  <si>
    <t>বিভিন্ন শ্রেনীর গ্রাহকের নিকট হতে বকেয়া বিদ্যুৎ বিল আদায় না করায় প্রতিষ্ঠানের আর্থিক ক্ষতি  ৪,২৮,৩৮,২৭৯/- টাকা</t>
  </si>
  <si>
    <t xml:space="preserve">পোষ্ট পেইড মিটার পরিবর্তন করে গ্রাহকের প্রি-পেইড মিটার সংযোগ প্রদানের সময় জমাকৃত নিরাপত্তা জামানত বাবদ ১৯,৮৩,৭০০/-  টাকা ফেরত প্রদান করা হয়নি। </t>
  </si>
  <si>
    <t xml:space="preserve">নির্বাহী  প্রকৌশলী, চৌমুহনী বিদ্যুৎ সরবরাহ </t>
  </si>
  <si>
    <t>বিদ্যুৎ বিল বকেয়া।</t>
  </si>
  <si>
    <t>সিপিডব্লি"এ" কোডের ১৭৭ (এ) অনুচ্ছেদ উপেক্ষা করে বিভিন্ন শ্রেণীর গ্রাহকের নিকট বিদ্যুৎ বিল বকেয়া বাবদ- ১২,০১,৮১৩/- টাকা অনাদায়ী থাকায় সরকারের রাজস্ব আয় হতে বঞ্চিত হচ্ছে।</t>
  </si>
  <si>
    <t>বিদ্যুৎ সংযোগ বিচ্ছিন্ন করা হলেও পূর্বেব বকেয়া বিল বাবদ গ্রাহকের নিকট হতে ৮,৬২,৪৫৫/- টাকা আদায় করা হয়নি।</t>
  </si>
  <si>
    <t xml:space="preserve">প্রি-পেইড মিটার প্রতিস্থাপনের সময় গ্রাহকের নিকট হতে পূর্বের বকেয়া আদায় না করায় প্রতিষ্ঠানের আর্থিক ক্ষতি ৬০,০৯,৫১০/-টাকা </t>
  </si>
  <si>
    <t>বিভিন্ন শ্রেনীর গ্রাহকের নিকট হতে বকেয়া বিদ্যুৎ বিল আদায় না করায় প্রতিষ্ঠানের আর্থিক ক্ষতি ৭,৬২,৬৬,২৪৩/- টাকা</t>
  </si>
  <si>
    <t>সংযোগ বিচ্ছিন্ন গ্রাহকের নিকট হতে বকেয়া আদায় না করায় প্রতিষ্ঠানের  ৩৬,০৩,১৮১/-  আর্থিক ক্ষতি হয়েছে।  সাতচল্লিশ) টাকা।</t>
  </si>
  <si>
    <t xml:space="preserve">বাজেট বরাদ্ধ না থাকা সত্বেও অনিয়মিতভাবে এক খাতের বরাদ্ধকৃত টাকা অন্যখাতে ব্যয়, জড়িত টাকা ১৬,৭৬,৮৯০/-  </t>
  </si>
  <si>
    <t>নির্বাহী প্রকৌশলী, বিতরন বিভাগ, বিউবো, ফেনী।</t>
  </si>
  <si>
    <t>গ্রাহকের নিকট পাওনা বিপুল পরিমাণ বকেয়া রাজস্ব আদায় ছাড়াই তাহাকে অনিয়মিতভাবে নতুন হিসাব নম্বরে নতুন সংযোগ প্রদান করায় বোর্ডের মোট ১০,০৭,৭৪৮/- টাকা তি অবিলম্বে আদায় করা প্রয়োজন।</t>
  </si>
  <si>
    <t>একজন এইচ.টি গ্রাহকের নিকট বিদ্যুৎ বিল বাবদ ২০,৫৯,২০২/- টাকা বকেয়া।া</t>
  </si>
  <si>
    <t>পল্লী বিদ্যুৎ সমিতির নিকট বিদ্যুৎ বিলের পাওনা বাবদ ৩,২৩,২৫,৬৫৪/- টাকা অনাদায়ী।</t>
  </si>
  <si>
    <t>১৯৯৯-২০০০</t>
  </si>
  <si>
    <t>এফ ও ই শ্রেণীর ৪ জন গ্রাহকের বিপরীতে জুন/২০০০ ইং পর্যন্ত ১,৪৬,০৫,২৫৩/- টাকা বকেয়া সত্ত্বর উক্ত টাকা আদায় যোগ্য।</t>
  </si>
  <si>
    <t>১,৭০,৪১৪/- টাকা মূল্যের পুরাতন তামার তার নিলামে বিক্রয় না করায় বোর্ডের আর্থিক ক্ষতি।</t>
  </si>
  <si>
    <t>বোর্ডের নির্দেশ অনুযায়ী বিদ্যুতের সিষ্টেম লসের পরিমান ১৫% এর মধ্যে সীমাবদ্ধ রাখিতে ব্যর্থ হওয়া মোট ২,২৮,২৩,৩৬৪/- টাকা ক্ষতি। দায়িত্ব নির্ধারণ করা প্রয়োজন।</t>
  </si>
  <si>
    <t>বিউবো ট্যারিফ/৮৯ইং অনুযায়ী গ্রাহকের নিকট হইতে বিলম্বিত সময়ের সারচার্জ (সুদ) আদায় না করায় মোট = ১,৪৪,৪২৯/- টাকা ক্ষতি আদায় করা প্রয়োজন।</t>
  </si>
  <si>
    <t>এইচ. টি গ্রাহকের নিকট হইতে বিদ্যুৎ বিল এবং শুল্ক আদায়ের ব্যর্থতার কারণে বোর্ডের ১,২৬,২৮,৮৬৭/- টাকা তি।</t>
  </si>
  <si>
    <t xml:space="preserve">বৈদ্যুতিক সরঞ্জামাদি সংগ্রহ করে দীর্ঘদিন যাবৎ ব্যবহার না করে ভান্ডারে ফেলে রাখায় ক্ষতি। </t>
  </si>
  <si>
    <t>২৫ বছর পর্যন্ত বিদ্যুৎ বিল পরিশোধ না করার পরও ট্যারিফ রুল মোতাবেক ব্যবস্থা গ্রহণ না করায় ৪,১০,৫৮৭/- টাকা বোর্ডের রাজস্ব তির পর তৈরী হয়েছে।</t>
  </si>
  <si>
    <t>General Financial Rules (GFR) এর প্যারা নং-১০ মোতাবেক ক্রয়ের ক্ষেত্রে আর্থিক যথার্থতার মানদন্ড নিশ্চিত না হওয়া সত্ত্বেও ১১ কেভি বিদ্যুৎ লাইনের বিভিন্ন ফিডারের এইচ.টি ও এল.টি লাইনের নিকটবর্তী গাছের ডালপালা কর্তন (Right-Of-Way) কাজের নামে অনয়িমিতভাবে ঠিকাদারকে ৪,৯১,০৩৪/- টাকা পরিশোধ।</t>
  </si>
  <si>
    <t>CPW D code এর ১৭৭(এ) ধারা মোতাবেক অফিস প্রধান কর্তৃক যে কোন ধরনের রাজস্ব আয় বকেয়া পড়ার সাথে সাথে বকেয়া আদায়ের জন্য জরুরী ভিত্তিতে পদক্ষেপ গ্রহন করার কথা থাকলেও আবাসিক গ্রাক, ক্ষুদ্র ও কুটির শিল্প প্রতিষ্ঠান, বিভিন্ন শিক্ষা ও সামাজিক প্রতিষ্ঠান এবং ছোট বড় শিল্প ও বাণিজ্যিক প্রতিষ্ঠানের নিকট হতে দীর্ঘদিন যাবৎ বকেয়া বিদ্যুৎ বিল বাবদ ১,৫৯,০১,৮৫৪/- টাকা অনাদায়ী।</t>
  </si>
  <si>
    <t>বিধি বির্হভূতভাবে কর্মকর্তা এবং কর্মচারীদের ছুটি নগদায়ন বাবদ বিল পরিশোধ করায় সংস্থার আর্থিক ক্ষতি ২,৫০,৪৪৭ (দুই লক্ষ পঞ্চাশ হাজার চারশত সাতচল্লিশ) টাকা।</t>
  </si>
  <si>
    <t>সাধারণ ভবিষ্য তহবিল বিধিমালা লঙ্গন করে জিপিএফ হতে উত্তোলিত অগ্রিম বাবদ ৫০,৬০,০০০ (পঞ্চাশ লক্ষ ষাট হাজার) টাকা জামা প্রদান ।</t>
  </si>
  <si>
    <t>বিভিন্ন শ্রেণির গ্রাহকের নিকট হতে বিদ্যুৎ বিল বাবদ অনাদায়ী বকেয়া আদায় না করায় প্রতিষ্ঠানের আর্থিক ক্ষতি ১,২৭,৪৪,৮১২ ( এক কোটি সাতাশ লক্ষ চুয়াল্লিশ হাজার আটশত বার) টাকা।</t>
  </si>
  <si>
    <t>অর্থ মন্ত্রণালয়ের নির্দেশনা লঙ্ঘন করে পেট্রোল, ওয়েল ও লুব্রিকেন্ট এবং গ্যাস ও জ্বালানি খাতে অতিরিক্ত ব্যয় ৩,১৯,৮৯৯ (তিন লক্ষ উনিশ হাজার আটশত নিরানব্বই) টাকা ।</t>
  </si>
  <si>
    <t>চুক্তিপত্রের শর্তানুযায়ী অভিজ্ঞতা না থাকা সত্ত্বেও ঠিকাদারকে রেসপনসিভ হিসেবে বিবেচনা করে মূল্যায়ন পূর্বক অনিয়মিতভাবে চুক্তিসম্পাদন ৩৮,৪৯,০৪৩ ( আটত্রিশ লক্ষ ঊনপঞ্চাশ হাজার তেতাল্লিশ) টাকা।</t>
  </si>
  <si>
    <t>কর্তব্যরত কর্মকর্তাদের যোগসাজসে সোলার প্যানেল স্থাপন না করা সত্বেও মধ্যম বৈদ্যুতিক চাপের বৈদ্যুতিক সংযোগ প্রদান ।</t>
  </si>
  <si>
    <t xml:space="preserve">প্রি-পেইড মিটার প্রতিস্থাপনের সময় গ্রাহকের নিকট হতে পূর্বের বকেয়া আদায় না করায় প্রতিষ্ঠানের আর্থিক ক্ষতি ২৮,৮৭,০৪৪/- টাকা </t>
  </si>
  <si>
    <t>বিভিন্নশ্রেনীর গ্রাহকের নিকট হতে বকেয়া বিদ্যুৎ বিল আদায় না করায় প্রতিষ্ঠানের আর্থিক ক্ষতি ১,৫১,৪৯,৪০৪/- টাকা</t>
  </si>
  <si>
    <t>সংযোগ বিচ্ছিন্ন গ্রাহকের নিকট হতে বকেয়া আদায় না করায় প্রতিষ্ঠানের ৫৫,৮২,৬২৭/-  আর্থিক ক্ষতি হয়েছে।  সাতচল্লিশ) টাকা।</t>
  </si>
  <si>
    <t>বিধিধ</t>
  </si>
  <si>
    <t>নির্বাহী প্রকৌশলী, বিক্রয় ও বিতরণ বিভাগ, বি,বাড়িয়া-১</t>
  </si>
  <si>
    <t>পল্লী বিদ্যুৎ সমিতিতে হস্তান্তিরীত গ্রাহকের নিকট হইতে টাকা আদায় করা হয় নাই্</t>
  </si>
  <si>
    <t>২০০৯-২০১১</t>
  </si>
  <si>
    <t>অনিয়মিত ভাবে অধিকাল ভাতা প্রদান।</t>
  </si>
  <si>
    <t>সর্বনিমণ ১১ মাস হইতে ১০২ মাস পর্যন্ত বকেয়াধারী গ্রাহকদের নিকট বকেয়া বিদ্যুৎ বিল বাবদ ৭৭,৩৪,৯৯২/- টাকা অনাদায়ী। গ্রাহকের বকেয়া বড় হয়ে যাওয়ায় তা আদায়ের অনিশ্চয়তা হয়ে পড়েছে।</t>
  </si>
  <si>
    <t>০২(২)</t>
  </si>
  <si>
    <t xml:space="preserve">দীর্ঘ দিন যাবত বিভিন্ন শ্রেণীর গ্রাহকদের নিকট হতে বকেয়া বিদ্যুৎ বিল আদায় না করায় বোর্ডের আর্থিক ক্ষতি ২,৩৭,৭৫,৮১৮/-। </t>
  </si>
  <si>
    <t>প্রি-পেইড মিটার সংযোগের পূর্বে আদায়কৃত নিরাপত্তা জামানত ফেরত প্রদান না করায় গ্রাহকের ৩২,৯২,৮০০/- টাকা আর্থিক ক্ষতি।</t>
  </si>
  <si>
    <t>বিভিন্ন শ্রেণির সংযোগ বিচ্ছিন্ন গ্রাহকের নিকট হতে দীর্ঘদিন যাবৎ বকেয়া আদায় না করায় প্রতিষ্ঠানের আর্থিক ক্ষতি ১৫,২৬,৬৪০/- টাকা।</t>
  </si>
  <si>
    <t>বিভিন্ন শ্রেণির নিখোঁজ গ্রাহকের নিকট হতে বকেয়া বিদ্যুৎ বিল আদায় না করায় প্রতিষ্ঠানের আর্থিক ক্ষতি ৭,৪৯,৯২৪/-টাকা ।</t>
  </si>
  <si>
    <t>প্রি- পেইড মিটার প্রতিস্থাপনের সময় বিভিন্ন শ্রেণির গ্রাহকের নিকট হতে পূর্বের বকেয়া আদায় না করায় প্রতিষ্ঠানের আর্থিক ক্ষতি ১৫,৬০,২৭৪/- টাকা।</t>
  </si>
  <si>
    <t>অর্থ বিভাগের সরকারি অর্থ ব্যয়ে কৃচ্ছ্র সাধনের নির্দেশনা লঙ্ঘন করে নির্ধারিত সীমার অতিরিক্ত ২৮,৮৪,৯০৯/-টাকা অনিয়মিত ব্যয়।</t>
  </si>
  <si>
    <t>বিভিন্ন শ্রেনীর গ্রাহকের নিকট হতে বকেয়া বিদ্যুৎ বিল আদায় না করায় প্রতিষ্ঠানের আর্থিক ক্ষতি ৫৮,১৩,৬২২/-  টাকা</t>
  </si>
  <si>
    <t>পিপিআর ২০০৮ এর বিধি লঙ্ঘন করে আরএফকিউ পদ্ধতিতে মালামাল ক্রয়/মেরামত কাজে অনিয়মিত ব্যয়   ১৪,৪৪,৯৩১/-টাকা।</t>
  </si>
  <si>
    <t>নির্বাহী প্রকৌশলী, বিক্রয় ও বিতরণ বিভাগ, বি,বাড়িয়া-২</t>
  </si>
  <si>
    <t xml:space="preserve">প্রি-পেইড মিটার প্রতিস্থাপনের সময় গ্রাহকের নিকট হতে পূর্বের বকেয়া আদায় না করায় প্রতিষ্ঠানের আর্থিক ক্ষতি ৫,৬৩,৫২১/- টাকা </t>
  </si>
  <si>
    <t>বিভিন্ন শ্রেনীর গ্রাহকের নিকট হতে বকেয়া বিদ্যুৎ বিল আদায় না করায় প্রতিষ্ঠানের আর্থিক ক্ষতি ৬৭,২৭,৯৩৯/-  টাকা</t>
  </si>
  <si>
    <t>পিপিআর ২০০৮ এর বিধি লঙ্ঘন করে আরএফকিউ পদ্ধতিতে মালামাল ক্রয়/মেরামত কাজে অনিয়মিত ব্যয়  ২১,৩৯,০৯০/- টাকা।</t>
  </si>
  <si>
    <t>প্রকল্প পরিচালক, বিদ্যুৎ বিতরণ ব্যবস্থা উন্নয়ন প্রকল্প, বিউবো, ঢাকা।</t>
  </si>
  <si>
    <t>১(১)</t>
  </si>
  <si>
    <t>পিপিআর ২০০৮ এর বিধি লঙ্ঘন করে অস্বাভিক নিম্নদরে ৯৬,৫০,৯০,৭৬৭/- কার্যাদেশ প্রদান</t>
  </si>
  <si>
    <t>৭(২)</t>
  </si>
  <si>
    <t>অর্থ মন্ত্রনালয়ের আদেশ লঙ্ঘন করে ভূমি অধিগ্রহন জমির মূল্যের সাথে ২% আনুষ্ঘক ব্যয়  পরিশোধ করায় ক্ষতি ৫৬,০০,৫১৩/-</t>
  </si>
  <si>
    <t>২(১)</t>
  </si>
  <si>
    <t>অর্থ মন্ত্রনালয়ের আদেশ লঙ্ঘন করে ভূমি অধিগ্রহন জমির মূল্যের সাথে ২%থেকে ৭%পর্যন্ত হারে  আনুঙ্ঘিক ব্যয়  ব্যয়  পরিশোধ করায় ক্ষতি ৪,৮১,৫৬৯/-</t>
  </si>
  <si>
    <t>ডিপিপির শর্ত ভঙ্গ করে পিডিবির নিজ্স্ব পিসি পোল কারখানা হতে সরাসরি ক্রয় পদ্ধতিতে ক্রয় না করে উন্মুক্ত পদ্ধতিতে বাহিরের সরবরাহকারীদের নিকট হতে পুল ক্রয় করায় অনিয়মিত ব্যয় ৯৯,১৭,১১,৬৬৬/-</t>
  </si>
  <si>
    <t>৯(২)</t>
  </si>
  <si>
    <t>প্রধানমন্তীর কার্যলয় এবং একনেক সভার নিদের্শনা উপেক্ষা করে সরকারী প্রতিষ্ঠানের পরিবর্তে বে-সরকারি কোম্পানী হতে অনিয়মিতভাবে ৬,৭৩,৩৬,৪৫৩/- ইন্সুলেটর ক্রয়।</t>
  </si>
  <si>
    <t>১৩(২)</t>
  </si>
  <si>
    <t>ডিপিপি নির্দেশনা উপেক্ষা করে বে-সরকারি সরবরাহকারীর নিকট হতে পিসি পোল ক্রয় করায় প্রতিষ্ঠানের আর্থিক ক্ষতি ---- টাকা</t>
  </si>
  <si>
    <t>৩৫(৪)</t>
  </si>
  <si>
    <t>বাজার দর যাচাই ব্যতীত আনুমানিক হারে আরডিপিপি এবং এপিপি প্রনয়ণ করে দাপ্তরিক প্রাক্কলিত মূল্যের চেয়ে অস্বাভাবিক (সর্বোচ্চ ৭৭%) হারে নিম্ন দরে অনিয়মত ভাবে -- টাকার কার্যসম্পাদন ।</t>
  </si>
  <si>
    <t>ফাইনান্সিয়াল ক্রাইটেরিয়া সংক্রান্ত সনদ দাখিল না করা সত্ত্বেও ঠিকাদারকে মূল্যয়নপূর্বক রেসপনসিভ হিসেবে বিবেচনা করে অনিয়মিতভাবে ৮,৫৬,৮২,৩২২/-(আট কোটি ছাপান্ন লক্ষ বিরাশি হাজার তিনশত বাইশ) টাকার চুক্তিসম্পাদন ও কার্যাদেশ প্রদান ।</t>
  </si>
  <si>
    <t>নির্ধারিত সময়ে চুক্তি সম্পাদনে ব্যর্থতা সত্বেও দরপত্র জামানত বাজেয়াপ্ত না করায় ৮,১৫,০০,০০০ (আট কোটি পনের লক্ষ) টাকা আর্থিক ক্ষতি।</t>
  </si>
  <si>
    <t>এলডি কমিটি ও লে-আউট কমিটি সম্মানি বাবদ অনিয়মিতভাবে ৩,৭৬,০০০ টাকা পরিশোধে করায় সরকারের আর্থিক ক্ষতি ।</t>
  </si>
  <si>
    <t>অর্থ মন্ত্রণালয়ের নির্দেশনা লঙ্ঘন করে পেট্রোল, ওয়েল ও লুব্রিকেন্ট এবং গ্যাস ও জ্বালানি এবং ভ্রমন ব্যয়/প্রশিক্ষন খাতে ১৮,৪২,১৫১ (আঠারো লক্ষ বিয়াল্লিশ হাজার একশত একান্ন) টাকা ব্যয়।</t>
  </si>
  <si>
    <t xml:space="preserve">পিপিআর ২০০৮ লঙ্ঘনপূর্বক নির্ধারিত সময়ে কার্য সম্পাদনে ব্যর্থ ঠিকাদারকে আরোপযোগ্য লিম্ব জরিমানা (খউ) কর্তন না করে বিল পরিশোধ করায় আর্থিক ক্ষতি ৬২,০৮,৮৫৬/-। </t>
  </si>
  <si>
    <t>৩২(১)</t>
  </si>
  <si>
    <t>এলডি কমিটির সন্মানী প্রাপ্যতা না থাকা সত্বেও পরিশোধ করায় ৪,৩৪,০০০/-  প্রতিষ্ঠানের আর্থিক ক্ষতি ।</t>
  </si>
  <si>
    <t>আউটসোসিং নীতিমালা লংঘনপূর্বক বিল প্রদানপূর্বক অনিয়মিত ব্যয় ২৩,১৬,০১২/-।</t>
  </si>
  <si>
    <t>নির্ধারিত সময়ে কার্য সম্পাদনে ব্যর্থ ঠিকাদারের নিকট হতে আরোপযোগ্য এলডি কর্তন না করায় বোর্ডের আর্থিক ক্ষতি ৬৪,৮৩,৯২,৬৭৫ টাকা।</t>
  </si>
  <si>
    <t>এলডি</t>
  </si>
  <si>
    <t>পরিকল্পনা কমিশনের শিল্প ও শক্তি বিভাগের শর্ত ও নির্দেশনা পরিপালন না করায় প্রকল্পের অনিয়মিত ব্যয় ৩৬৭,৮৭,৭৮,০০০ টাকা।</t>
  </si>
  <si>
    <t>ডিপিপি এর শর্ত ভঙ্গ করে পিডিবিহর নিজস্ব পিসি পোল কারখানা হতে পোল ক্রয় না করে ঊর্ধ্বদরে সরবরাহকারীদের নিকট হতে পোল ক্রয় করায় অনিয়মিত ব্যয় ৯১,৬৮,৯২,৮১০/- টাকা।</t>
  </si>
  <si>
    <t>চুক্তি মোতাবেক সাবস্টেশন নির্মাণ ও কমিশনিং না হওয়া সত্ত্বেও এলসি এর মাধ্যমে ঠিকাদারকে বিল পরিশোধ করায় বোর্ডের আর্থিক ক্ষতি ৫৯৮,৮৬,৬০,৭৯৩ টাকা।</t>
  </si>
  <si>
    <t>আর্থিক অনিয়ম</t>
  </si>
  <si>
    <t xml:space="preserve">প্রকল্প পরিচালক, হাতিয়া, নিঝুমদ্বীপ প্রকল্প , বিউবো ঢাকা। </t>
  </si>
  <si>
    <t>৯(১)</t>
  </si>
  <si>
    <t>প্রধানমন্তীর কার্যলয় এবং একনেক সভার নিদের্শনা উপেক্ষা করে সরকারী প্রতিষ্ঠানের পরিবর্তে বে-সরকারি কোম্পানী হতে অনিয়মিতভাবে ৬,৫৩,৭২,৯৮৬/- ইন্সুলেটর ক্রয়।</t>
  </si>
  <si>
    <t>প্রাক্কলিত মূল্য অপেক্ষা অস্বাভিক উদ্ধদরে সরবরাহকারী নির্ধারণ করে অনিয়মিতভাবে কার্যসম্পাদন করায় প্রতিষ্ঠানের আর্থিক ক্ষতি  ২৪১৪০১০৪০  টাকা</t>
  </si>
  <si>
    <t>২৫(২)</t>
  </si>
  <si>
    <t>বিভিন্ন প্রকার পূত কাজ যোগসাজসের মাধ্যমে ঠিকাদার নির্বাচন করে অনিয়মিত ভাবে --- টাকার কার্যসম্পাদন।</t>
  </si>
  <si>
    <t>৩৩(২)</t>
  </si>
  <si>
    <t xml:space="preserve">যথাসময়ে কার্যসম্পাদনে ব্যর্থ ঠিকাদারের নিকট হতে জরিমানা (এলডি) আদায় না করায় প্রতিষ্টানের আর্থিক ক্ষতি  ৭৪২১২০২৬/-    </t>
  </si>
  <si>
    <t>৩৫(৩)</t>
  </si>
  <si>
    <t>২০২3-২০২4</t>
  </si>
  <si>
    <t xml:space="preserve">অস্বাভাবিক উচ্চমূল্যে দাপ্তরিক প্রাক্কলন প্রস্তুত করে চুক্তি সম্পাদনের মাধ্যমে পোলের মূল্য পরিশোধ করায় পিডিবির ১০,৩২,৯৬,০৬২/- আর্থিক ক্ষতি।  </t>
  </si>
  <si>
    <t xml:space="preserve">দাপ্তরিক প্রাক্কল্লিত মূল্যের চেয়ে অস্বাভাবিক উর্ধ্বদরে দাখিলকৃত দরদাতাগনের সাথে অনিয়মিতভাবে ৪০,৩২,৫৫,৭৪৪/- টাকার কার্য সম্পাদন </t>
  </si>
  <si>
    <t xml:space="preserve">সাবষ্টেশন নির্মাণ কাজে উর্ধ্বদরে চুক্তি সম্পাদন পূর্বক অন্য চুক্তির তুলনায় একই ধরনের আটেমে ৫,৪৬,০৮,০৪৮/- টাকা বেশী পরিশোধ। </t>
  </si>
  <si>
    <t>প্রকল্প পরিচালক, হাতিয়া দ্বীপ, নিঝুম দ্বীপ, ও কুতুবদিয়া দ্বীপ শতভাগ নির্ভরযোগ্য ও টেকসই বিদ্যুৎতায়ন প্রকল্প।</t>
  </si>
  <si>
    <t>২০২৪-২৫</t>
  </si>
  <si>
    <t>দীর্ঘ স্থায়ী পিসি পোলের পরিবর্তে অত্যাধিক বেশিমূল্যের কম স্থায়ী স্টীল পুল ক্রয় করায় পিডিবির আর্থিক ক্ষতি ৪৩২৩০২৩৫০ (তেতাল্লিশ কোটি তেইশ লক্ষ দুই হাজার তিনশত পঞ্চাশ) টাকা।</t>
  </si>
  <si>
    <t>আথিক অনিয়ম</t>
  </si>
  <si>
    <t>নির্ধারিত সময়ের চেয়ে অতিরিক্ত ২ বছরে প্রকল্প বাস্তবায়িত হওয়া প্রকল্পের মোট ৬৬.৬৭% ঞরসব Time Over-Run এবং একই সাথে প্রকল্প ব্যয় মূল অনুমোদিত ব্যয়ের তুলনায় ৫৩.৮৯% বৃদ্ধি পাওয়ায় প্রকল্প ঋণের সুদ বাবদ পিডিবির ১১৬২৯৬২৬০ (এগার কোটি বাষট্টি লক্ষ ছিয়ানব্বই হাজার দুইশত ষাট) টাকা আর্থিক ক্ষতি।</t>
  </si>
  <si>
    <t>নির্ধারিত সময়ে প্রকল্পের কাজ ঠিকাদারের ব্যর্থতার জন্য শেষ করতে না পারার পরেও আরডিপিতে সংশোধন মাধ্যমে অনুমোদন প্রদান করায় পিডিবির আর্থিক ক্ষতি ১৮৯৪৬৬০০০ (আঠারো কোটি চুরানব্বই লক্ষ ছেষট্টি) টাকা।</t>
  </si>
  <si>
    <t>দরপত্র বাতিলের বাধ্যবাধকতা উপেক্ষা করে অযোগ্য ৩য় সর্বনিম্ন দরদাতার সাথে উর্ধ্বদরে চুক্তি ও বিল পরিশোধে সরকারের ৪,৭৩,৩০,৫৯৭ (চার কোটি তেয়াত্তর হাজার ত্রিশ হাজার পাঁচশত সাতানব্বই) টাকা আর্থিক ক্ষতি।</t>
  </si>
  <si>
    <t>ডিপিপির প্রস্তাবিত মূল্যই অনিয়মিতভাবে দাপ্তরিক প্রাক্কলিত মূল্য হিসেবে অনুমোদন করে ঠিকাদার নির্বাচন ও ৪৫৭৬১২৩১৩ (পঁয়তাল্লিশ কোটি ছিয়াত্তর লক্ষ বার হাজার তিনশত তের) টাকার চুক্তি সম্পাদন।</t>
  </si>
  <si>
    <t>নির্ধারিত সময়ে কার্য সম্পাদনে ব্যর্থ ঠিকাদার কর্তৃক আরোপযোগ্য বিলম্ব জরিমানা (LD) কর্তন না করায় বোর্ডের আর্থিক ক্ষতি ১৪২১৮৮২৫৪  টাকা।</t>
  </si>
  <si>
    <t>প্রকল্প সমাপ্ত প্রতিবেদন অনুযায়ী সমুদয় মালামাল যন্ত্রপাতি ইত্যাদি আমদানি সমাপ্ত হওয়ার পরও অবশিষ্ট অর্থ সিডি ভ্যাট চলতি হিসাবে জমা ও সরকারি কোষাগারে জমার ব্যবস্থা গ্রহণ না করায় বোর্ডের ৭২৮৯২৯৫৫ (সাত কোটি আটাশ লক্ষ বিরানব্বই হাজার নয়শত পঁঞ্চান্ন) টাকা আর্থিক ক্ষতি।</t>
  </si>
  <si>
    <t>সিডি ভ্যাট</t>
  </si>
  <si>
    <t>প্রকল্প কাজে ডিপিপি অনুমোদন বহির্ভূত যানবাহন রক্ষনাবেক্ষণে বোর্ডের আর্থিক ক্ষতি ১৭,৮৩,৫৪৮/- টাকা।</t>
  </si>
  <si>
    <t xml:space="preserve"> ঠিকাদার/সরবরাহকারীর সাথে চুক্তি সম্পাদন ব্যতীত কার্যসম্পাদন ও বিল পরিশোধ করায় অনিয়মিত ব্যয় ১৩,১২,৯০৭ টাকা।</t>
  </si>
  <si>
    <t>আরএফকিউ পদ্ধতিতে বাৎসরিক সীমার অতিরিক্ত অনিয়মিত ব্যয় ১২,২৮,৬৯২ (বার লক্ষ আটাশ হাজার ছয়শত বিরানব্বই) টাকা।</t>
  </si>
  <si>
    <t>বিভিন্ন শ্রেনীর (HT) গ্রাহকের সংযোগ প্রদানের সময় বৈদ্যুতিক উপদেষ্টা ও প্রধান বিদ্যুৎ পরিদর্শকের অনুমোদনের নির্ধারিত সময়সীমা ২ বছর অতিক্রমের পর পূনঃ অনুমোদন ব্যতীত অনিয়মিতভাবে সংযোগ চলমান।</t>
  </si>
  <si>
    <t xml:space="preserve">পিপিআর ২০০৮ লংঘনপূর্বক একই ধরনের কাজকে একাধিক প্যাকেজে বিভক্ত করে আরএফকিউ ও এলটিএম এর মাধ্যমে সম্পাদন করে অনিয়মিতভাবে ১৬,৬৭,২৩৫/- টাকার কার্যসম্পাদন। </t>
  </si>
  <si>
    <t>চুক্তি অনুযায়ী নিমৃান কাজ শুরু না করার পর দীর্ঘদিন অতিবাহিত হওয়া সত্বে ও ঠিকাদারের পারফরমেন্স সিকিউরিটি বাতিল পূর্বক নগদায়ন না করায় প্রতিষ্ঠানের আর্থিক ক্ষতি ৩.৭৬,২৫৯/-  টাকা।</t>
  </si>
  <si>
    <t>পিপিআর ২০০৮ বিধি উপেক্ষা করে কোন কাজ না করার পরও দরপত্রদাতার পারফরমেন্স  সিকিউরিটি বাজেয়াপ্ত না করায় পিডিবির ১,৩৫,০০০/-   টাকা।</t>
  </si>
  <si>
    <t xml:space="preserve">নন টেকনিক্যাল শ্রমিক দিয়ে টেকনিক্যাল কাজ সম্পাদন দেখিয়ে অনিয়মিতভাবে ৪,৩৬,৮০০/- টাকা ব্যয় </t>
  </si>
  <si>
    <t>মেরামতের নিমিত্তে প্রেরণকৃত ট্রান্সফর্মারসমূহ মেরামত শেষে স্টোরে জমা না হওয়ায় বোর্ডের আর্থিক ক্ষতি ২১,১৪,০০০ টাকা।</t>
  </si>
  <si>
    <t>দরপত্রে কার্যকর প্রতিযোগীতা না হওয়া সত্ত্বেও দরপত্র বাতিল না করে অনিয়মিতভাবে ঠিকাদার/সরবরাহকারীর সাথে চুক্তি সম্পাদন করায় অনিয়মিত ৪১,২৭,৯৪৭ টাকা।</t>
  </si>
  <si>
    <t>৭২(২)</t>
  </si>
  <si>
    <t>অগ্রদ্ত্ত এবং ভ্রমন ভাতা বাবদ ২৪,৮১,৩৯০/- টাকা ব্যয় করা হলেও এ সংক্রান্ত কোন বিল ভাউচার নিরীক্ষায় পাওয়া যায়নি।</t>
  </si>
  <si>
    <t>আবাসিক, বানিজ্যিক, ক্ষুদ্র শিল্প এবং নির্মান বিলের বিভিন্ন গ্রাহকের নিকট হতে বকেয়া বিদ্যুৎ বিল বাবদ ৩৫,৯৭,৯৭৮/- টাকা অনাদায়ী।</t>
  </si>
  <si>
    <t>পিপিআর লঙ্ঘনপূর্বক চুক্তি ব্যতিত জ্বালানি বিল পরিশোধ করায় অনিয়মিত ব্যয় ১২,৯৯,৯৮০  টাকা।</t>
  </si>
  <si>
    <t>অনুমোদিত ডিপিপির মূল্যের ভিত্তিতে প্রাক্কলন প্রস্তুতের অজুহাত দেখিয়ে ডিপিপির মূল্যের চেয়ে অধিক মূল্যে মূল্যে প্রাক্কলন প্রস্তুত, প্রস্তুতকৃত দাপ্তরিক প্রাক্কলনের ভিত্তিতে ঠিকাদার নির্বাচন ও বিল পরিশোধ করায় সরকারের ৪৬৭৪৫৯৫ (ছেচল্লিশ লক্ষ চুয়াত্তর হাজার পাঁচশত পঁচানব্বই) টাকা আর্থিক ক্ষতি।</t>
  </si>
  <si>
    <t xml:space="preserve">প্রয়োজনের অতিরিক্ত ক্রয়কৃত মালামাল প্রকল্প শেষে অব্যবহৃত থাকায় সরকারের আর্থিক ক্ষতি ১৭,৮০,৯৮,০৪৬/- টাকা।
</t>
  </si>
  <si>
    <t>সমাপ্ত প্রকল্পের যানবাহনগুলো সরকারি যানবাহন অধিদপ্তরের কেন্দ্রীয় পরিবহণ পুলে হস্তান্তর না করায় সরকারের আর্থিক ক্ষতি ১,৬৩,৩১,০০০/- টাকা।</t>
  </si>
  <si>
    <t>কুমিল্লা</t>
  </si>
  <si>
    <t>সরকারি অডিট আপত্তির হালনাগাদ তথ্য</t>
  </si>
  <si>
    <t xml:space="preserve">সিলেট জোন 31-05-2026 পর্যন্ত </t>
  </si>
  <si>
    <t>ক্রt নং</t>
  </si>
  <si>
    <r>
      <t xml:space="preserve">সাধারণ </t>
    </r>
    <r>
      <rPr>
        <sz val="11"/>
        <color theme="1"/>
        <rFont val="Times New Roman"/>
        <family val="1"/>
      </rPr>
      <t>(Non SFI</t>
    </r>
    <r>
      <rPr>
        <sz val="11"/>
        <color theme="1"/>
        <rFont val="NikoshBAN"/>
      </rPr>
      <t>) আপত্তি</t>
    </r>
  </si>
  <si>
    <t>অগ্রীম (SFI) আপত্তি</t>
  </si>
  <si>
    <t>মোট আপত্তি</t>
  </si>
  <si>
    <t>ত্রি-পক্ষীয় সভায় আলোচনা</t>
  </si>
  <si>
    <t>ত্রি-পক্ষীয় সভায় সুপারিশ</t>
  </si>
  <si>
    <t>ব্রডসীট জবাব প্রেরণ</t>
  </si>
  <si>
    <t>নিষ্পত্তির জন্য সুপারিশকৃত</t>
  </si>
  <si>
    <t>5(3+4)</t>
  </si>
  <si>
    <t>9(7+8)</t>
  </si>
  <si>
    <t>নির্বাহী প্রকৌশলী, বিক্রয় ও বিতরণ বিভাগ-১, বিউবো, সিলেট</t>
  </si>
  <si>
    <t>নির্বাহী প্রকৌশলী, বিক্রয় ও বিতরণ বিভাগ-২, বিউবো, সিলেট</t>
  </si>
  <si>
    <t>নির্বাহী প্রকৌশলী, বিক্রয় ও বিতরণ বিভাগ-৩, বিউবো, সিলেট</t>
  </si>
  <si>
    <t>নির্বাহী প্রকৌশলী, বিক্রয় ও বিতরণ বিভাগ-৪, বিউবো, সিলেট</t>
  </si>
  <si>
    <t>নির্বাহী প্রকৌশলী, বিক্রয় ও বিতরণ বিভাগ-৫, বিউবো, সিলেট</t>
  </si>
  <si>
    <t>নির্বাহী প্রকৌশলী, বিক্রয় ও বিতরণ বিভাগ, বিউবো, সুনামগঞ্জ</t>
  </si>
  <si>
    <t>নির্বাহী প্রকৌশলী, বিক্রয় ও বিতরণ বিভাগ, ছাতক, সুনামগঞ্জ।</t>
  </si>
  <si>
    <t>নির্বাহী প্রকৌশলী, বিতরণ বিভাগ, বিউবো, মৌলভীবাজার</t>
  </si>
  <si>
    <t>নির্বাহী প্রকৌশলী, বিক্রয় ও বিতরণ বিভাগ, কুলাউড়া, বিউবো, মৌলভীবাজার</t>
  </si>
  <si>
    <t>নির্বাহী প্রকৌশলী, বিক্রয় ও বিতরণ বিভাগ, বিউবো, হবিগঞ্জ</t>
  </si>
  <si>
    <t>ব্যবস্থাপক, ফেঞ্চুগঞ্জ ৯০ মেঃ ওঃ কম্বাইন্ড সাইকেল বিদ্যুৎ কেন্দ্র, বিউবো, ফেঞ্চুগঞ্জ, সিলেট</t>
  </si>
  <si>
    <t>ব্যবস্থাপক, শাহ্‌জীবাজার বিদ্যুৎ কেন্দ্র, বিউবো, হবিগঞ্জ</t>
  </si>
  <si>
    <t>প্রকল্প পরিচালক, ১৫০ মেঃ ওঃ কম্বাইন্ড সাইকেল প্রকল্প, বিউবো, সিলেট।</t>
  </si>
  <si>
    <t>প্রকল্প পরিচালক, বিদ্যুৎ বিতরণ ব্যবস্থা উন্নয়ন প্রকল্প, সিলেট জোন, বিউবো, ঢাকা।</t>
  </si>
  <si>
    <t>ব্যবস্থাপক, বিবিয়ানা-সাউথ ৪০০ মে. ও. কম্বাইন্ড সাইকেল বিদ্যুৎ কেন্দ্র, নবীগঞ্জ, হবিগঞ্জ</t>
  </si>
  <si>
    <t>ব্যবস্থাপক, বিবিয়ানা-৩  ৪০০ মে. ও. কম্বাইন্ড সাইকেল বিদ্যুৎ কেন্দ্র, নবীগঞ্জ, হবিগঞ্জ</t>
  </si>
  <si>
    <t xml:space="preserve">প্রধান প্রকৌশলী, সিলেট ২২৫ মেঃ ওঃ কম্বাইণ্ড সাইকেল পাওয়ার প্ল্যান্ট, বিউবো, কুমারগাও, সিলেট।  </t>
  </si>
  <si>
    <r>
      <t xml:space="preserve">              </t>
    </r>
    <r>
      <rPr>
        <sz val="10"/>
        <color theme="1"/>
        <rFont val="NikS"/>
      </rPr>
      <t>মোট</t>
    </r>
  </si>
  <si>
    <t>খেলাপি গ্রাহকদের নিকট দীর্ঘদিন অনাদায়ী ।</t>
  </si>
  <si>
    <t>গ্রাহক সম্পর্কে তথ্য অনুসন্ধান না করোই সংযোগ প্রদানে বকেয়া</t>
  </si>
  <si>
    <t>কর্মচারীদের প্রাপ্য মূল বেতনের অধিক অধিকাল ভাতা বাবদ অনিয়মিতভাবে পরিশোধ ।</t>
  </si>
  <si>
    <t>31(5)</t>
  </si>
  <si>
    <t xml:space="preserve">ঠিকাদারের বিল পরিশোধের ক্ষেত্রে ভ্যাট কম কর্তনের কারণে সরকারের ৬৮,১৮,৬২৯ /- (আটষট্টি লক্ষ আঠার হাজার ছয়শত ঊনত্রিশ) টাকা রাজস্ব ক্ষতি ।  </t>
  </si>
  <si>
    <t>বিদ্যুৎ আইন-২০১৮ এর নির্দেশনা মোতাবেক প্রি- পেইড মিটার প্রতিস্থাপনের সময় বিভিন্ন শ্রেণির গ্রাহকের নিকট হতে পূর্বের বকেয়া আদায় না করায় প্রতিষ্ঠানের আর্থিক ক্ষতি ৪,৭৬,৫৬৮/- টাকা।</t>
  </si>
  <si>
    <t>বিভিন্ন শ্রেণির গ্রাহকের নিকট হতে দীর্ঘদিন যাবৎ বকেয়া আদায় না করায় প্রতিষ্ঠানের আর্থিক ক্ষতি ২১,২৫,৮৯৬ টাকা।</t>
  </si>
  <si>
    <t>24.7</t>
  </si>
  <si>
    <t>57.4</t>
  </si>
  <si>
    <t>ড্যামেজড আইটেম/মালামাল (Lube Oil) দীর্ঘদিন স্টোরে অব্যবহারযোগ্য থাকার পরেও কনডেমনেশন না করায় বোর্ডের আর্থিক ক্ষতি ৩,৪৯,৯৫,৬৭২ টাকা।</t>
  </si>
  <si>
    <t>80.7</t>
  </si>
  <si>
    <t>86</t>
  </si>
  <si>
    <t>লাইন নির্মাণ (মূলধন) খাতের ব্যয়কে পরিচালন, মেরামত ও সংরক্ষণ (রাজস্ব) খাতে অন্তর্ভূক্ত করে চুক্তি সম্পাদন পূর্বক ঠিকাদারকে বিল পরিশোধ করায় বোর্ডের অনিয়মিত ব্যয় ৭,৯৮,৮৬৩ টাকা।</t>
  </si>
  <si>
    <t>অর্থ বিভাগের নির্দেশনা লঙ্ঘন করে বিদ্যুৎ খাতে ৭৫% ও জ্বালানি খাতে ৮০% এর অতিরিক্ত অর্থ ব্যয় করায় প্রতিষ্ঠানের অনিয়মিত ৮,০৫,০৫০/-টাকা।</t>
  </si>
  <si>
    <t>দীর্ঘদিনের পুরাতন সংযোগ বিচ্ছিন্ন গ্রাহকদের তালিকা প্রনয়ন না করায় বোর্ডের লক্ষ লক্ষ টাকা আদায়ের ব্যবস্থা গ্রহন করা হয়নি । নমুনা স্বরূপ দেয়া হলো 17,58,626/- টাকা অনাদায়ী ।</t>
  </si>
  <si>
    <t>দ্বিগুন হারে অধিকাল ভাতা প্রদান করায় সরকারের 1,36,184/- টাকা ক্ষতি ।</t>
  </si>
  <si>
    <t>06(06)</t>
  </si>
  <si>
    <t>বিভিন্ন শ্রেণির গ্রাহকের নিকট হতে বকেয়া বিদ্যুৎ বিল আদায় না করায় পিডিবি’র আর্থিক ক্ষতি ২৬,১০,৩১,৭৬০/-</t>
  </si>
  <si>
    <t xml:space="preserve">৬,৩২,৯৩,৭৬০ </t>
  </si>
  <si>
    <t>নির্বাহী প্রকৌশলী, বিক্রয় ও বিতরণ বিভাগ-2, বিউবো, সিলেট ।</t>
  </si>
  <si>
    <t xml:space="preserve">গ্রাহকের বিদ্যুৎ বিল হতে আদায়কৃত ভ্যাট যথাসময়ে সরকারী কোষাগারে জমা না করায় দণ্ডসুদের অর্থ আনাদায়ী থাকায় সরকারের আর্থিক ক্ষতি </t>
  </si>
  <si>
    <t>১,৫২,৮৩৭</t>
  </si>
  <si>
    <t xml:space="preserve">বিভিন্ন শ্রেনির গ্রাহকের নিকট হতে বিদ্যুৎ বিল বাবদ বকেয়া আদায় না করায় প্রতিষ্টানের আর্থিক ক্ষতি </t>
  </si>
  <si>
    <t xml:space="preserve">সংযোগ বিচ্ছিন্ন গ্রাহকের নিকট হতে বকেয়া আদায় না করায় প্রতিষ্টানের আর্থিক ক্ষতি </t>
  </si>
  <si>
    <t>উর্ধ্বতন কর্তৃপক্ষের অনুমোদনের বাধ্যবাধকতা এড়ানোর জন্য একই ধরনের মালামাল সরবরাহকে একাধিক খণ্ড খণ্ড করে অনিয়মিত ব্যয়</t>
  </si>
  <si>
    <t>৩,৯৯,৫০০</t>
  </si>
  <si>
    <t>পল্লী বিদ্যুতের বকেয়া ।</t>
  </si>
  <si>
    <t>কর্মচারীদের মূল বেতনের অতিরিক্ত অধিকাল ভাতা প্রদান করায় বিউবো’র ১,৫৯,৬৮৮.০০ টাকা আর্থিক ক্ষতি।</t>
  </si>
  <si>
    <t>কর্মচারীদের মূল বেতনের অতিরিক্ত পরিশোধ।</t>
  </si>
  <si>
    <t>অনিয়মিতভাবে অধিকাল ভাতা ১০৮১৬৭৬/- টাকা অতিরিক্ত পরিশোধ।</t>
  </si>
  <si>
    <t>বিদ্যুৎ চুরি বাবদ দন্ডিত জরিমানার অর্থ আদায় না করায় বোর্ডের আর্থিক ক্ষতি ১৬,০৮,১১৩ টাকা।</t>
  </si>
  <si>
    <t>80.10.</t>
  </si>
  <si>
    <t>মিডিয়াম টেনশন (এমটি) গ্রাহকের বিদ্যুতের সরবরাহ পয়েন্টে মাসিক গড় পাওয়ার ফ্যাক্টর (পিএফ) এর পরিমাণ নির্ধারিত সীমার নিচে নেমে গেলেও গ্রাহকের সংযোগ বিচ্ছিন্ন না করে অনিয়ম সাধন</t>
  </si>
  <si>
    <t>নির্বাহী প্রকৌশলী, বিক্রয় ও বিতরণ বিভাগ-4, বিউবো, সিলেট ।</t>
  </si>
  <si>
    <t>৯,২০,১৭০</t>
  </si>
  <si>
    <t>সাধারণ ভবিষ্যত তহবিল বিধিমালা লংঘন করে জিপিএফ হতে উত্তেলিত অগ্রিমের কিস্তি বাবদ অর্থ জমা না করার অনিয়ম</t>
  </si>
  <si>
    <t>৪,১০,০০০</t>
  </si>
  <si>
    <t>১৯৯৭-২০০১</t>
  </si>
  <si>
    <t>পল্রী বিদ্যুৎ সমিতির নিকট পাওনা।</t>
  </si>
  <si>
    <t>দ্বিগুন হারে অধিকাল ভাতা প্রদান করায় সরকারের ক্ষতি।</t>
  </si>
  <si>
    <t>০১(২)</t>
  </si>
  <si>
    <t>নির্ধারিত লক্ষ্যমাত্রার মধ্যে সিস্টেম লস সীমিত রাখতে ব্যর্থতার দরুন সরকারের আর্থিক ক্ষতি।</t>
  </si>
  <si>
    <t>১৩,৭৫,৮৭,৮০০</t>
  </si>
  <si>
    <t>স্টোরে দীর্ঘদিন অব্যবহৃত মালামাল মজুদ করে রাখায় বোর্ড/ সরকারের আর্থিক ক্ষতি ৩৯,২৬,৮৮৭/- টাকা।</t>
  </si>
  <si>
    <t>24.8</t>
  </si>
  <si>
    <t>53.1</t>
  </si>
  <si>
    <t>80.9</t>
  </si>
  <si>
    <t>40.8</t>
  </si>
  <si>
    <t>বিভিন্ন শ্রেণির গ্রাহকের নিকট হতে বিদ্যুৎ বিলের বকেয়া আদায় না করায় প্রতিষ্ঠানের আর্থিক ক্ষতি ১৩,৮১,৫৮৫ টাকা।</t>
  </si>
  <si>
    <t>47.3</t>
  </si>
  <si>
    <t>অর্থ বিভাগের নির্দেশনা লঙ্ঘন করে বিদ্যুৎ খাতে ৭৫% ও পিওএল খাতে ৮০% এর অতিরিক্ত অর্থ ব্যয় করায় প্রতিষ্ঠানের আর্থিক ক্ষতি ১,৮৭,৬৭৪/-টাকা।</t>
  </si>
  <si>
    <t>১১,৯৩,৯৮৪</t>
  </si>
  <si>
    <t>অর্থ বিভাগের নির্দেশনা লংঘন করে সংশ্লিষ্ট অর্থ বছরে সীমাতিরিক্ত জ্বালানি ব্যয় পরিশোধ করার অনিয়ম</t>
  </si>
  <si>
    <t>১,২১,৭৬৮</t>
  </si>
  <si>
    <t>িপিপআর লঙ্ঘনপূবকর্ চুিক্ত বয্িতত জব্ালািন িবল পিরেশাধ করায় অিনয়িমত বয্য় ২০,২১,৭৪৮ (িবশ লক্ষ একুশ হাজার সাতশত আটচিল্লশ)টাকা।</t>
  </si>
  <si>
    <t>নির্বাহী প্রকৌশলী, বিক্রয় ও বিতরণ বিভাগ, বিউবো, ছাতক, সুনামগঞ্জ।</t>
  </si>
  <si>
    <t>০২(৭)</t>
  </si>
  <si>
    <t>দীর্ঘ দিন যাবত বিভিন্ন শ্রেণীর গ্রাহকদের নিকট হতে বকেয়া বিদ্যুৎ বিল আদায় না করায় বোর্ডের আর্থিক ক্ষতি।</t>
  </si>
  <si>
    <t>৩০,৩৮,১২১</t>
  </si>
  <si>
    <t xml:space="preserve">বিদ্যুৎ আইন উপেক্ষা করে নিখোজ গ্রাহকের নিকট হতে বিদ্যুৎ বিল বাবদ বকেয়া আদায় না করায় প্রতিষ্টানের আর্থিক ক্ষতি </t>
  </si>
  <si>
    <t>২,৮৭,৩৮৩</t>
  </si>
  <si>
    <t>এসটিডির নির্ধারিত হার আপেক্ষা অতিরিক্ত হারে বার্ষিক টার্ণওভার নির্ধারণ</t>
  </si>
  <si>
    <t>৪৩,৮১,৫৫১</t>
  </si>
  <si>
    <t>প্রয়োজনের অতিরিক্ত মালামাল ক্রয়/গ্রহনের মাধ্যমে অর্থের অপচয়</t>
  </si>
  <si>
    <t>1,56,52,945</t>
  </si>
  <si>
    <t>ইজিপির গাইড লাইন অনুসরণ না করে অনিয়মিতভাবে ৪৩,০৫,০৮০ (তেতাল্লিশ লক্ষ পাঁচ হাজার আশি) টাকার চুক্তি সম্পাদন</t>
  </si>
  <si>
    <t>০২(দুই) মাসের অধিক বকেয়ার পরিমান ৮৮,৫৪,৯৪৫/-টাকা হওয়া সত্ত্বেও গ্রাহকের সংযোগ বিচ্ছিন্ন করা হয়নি।</t>
  </si>
  <si>
    <t>কর্মচারীদের মূল বেতনের অতিরিক্ত অধিকাল ভাতা প্রদান করায় সরকারের ক্ষতি।</t>
  </si>
  <si>
    <t>২০১১-২০১৫</t>
  </si>
  <si>
    <t>নির্বাহী প্রকৌশলীর এয়ারমার্ক বাসা থাকা সত্ত্বেও বাড়ীভাড়া ভাতা গ্রহণ এবং ৭.৫০% হারে বাড়ীভাড়া কর্তন না করায় ক্ষতি ১,০৬,৬৯৬/-</t>
  </si>
  <si>
    <t>মূল বেতনের অধিত একক হারে ৩২ ঘন্টার অধিক ও দ্বিগুন হারে অধিকাল ভাতা প্রদান করায় ১৪,১৯,৬৭২/- টাকা ক্ষতি।</t>
  </si>
  <si>
    <t>06(4)</t>
  </si>
  <si>
    <t>বিভিন্ন শ্রেনীর গ্রাহকের নিকট বিদ্যুৎ বিল বকেয়া থাকায় সংস্থার ক্ষতি ৪৬,৪৯,৯৩১.০০টাকা । মোট গ্রাহক সংখ্যা ৭৩ জন ।</t>
  </si>
  <si>
    <t>12.5</t>
  </si>
  <si>
    <t>বিদ্যুৎ আইন-২০১৮ এর নির্দেশনা মোতাবেক প্রি- পেইড মিটার প্রতিস্থাপনের সময় বিভিন্ন শ্রেণির গ্রাহকের নিকট হতে পূর্বের বকেয়া আদায় না করায় প্রতিষ্ঠানের আর্থিক ক্ষতি ৩,৫৬,০০০ টাকা।</t>
  </si>
  <si>
    <t>যানবাহন মেরামত খাতে অর্থ মন্ত্রণালয়ের আর্থিক ক্ষমতা অর্পণ বিধি উপেক্ষা করে অনিয়মিত ব্যয় ৩,৯৯,৯৭০ টাকা।</t>
  </si>
  <si>
    <t>48.1</t>
  </si>
  <si>
    <t>বাংলাদেশ বিদ্যুৎ উন্নয়ন বোর্ডের আর্থিক ক্ষমতা অর্পন, ২০১৮ এর নির্দেশনা উপেক্ষা করে বার্ষিক ক্রয় পরিকল্পনায় (এপিপি) অন্তর্ভূক্ত না করেই পূর্ববর্তী অর্থ বছরে কাজের বিল বাবদ অনিয়মিতভাবে ১৩,৪৯,৩০৫ টাকা পরিশোধ।</t>
  </si>
  <si>
    <t>নির্বাহী প্রকৌশলী, বিক্রয় ও বিতরন বিভাগ, বিউবো, মৌলভীবাজার</t>
  </si>
  <si>
    <t xml:space="preserve">বিদ্যুৎ আইন উপেক্ষা করে প্রি-পেইড গ্রাহকের নিকট হতে বকেয়া বিদ্যুৎ বিল আদায় না করায় প্রতিষ্টানের আর্থিক ক্ষতি </t>
  </si>
  <si>
    <t>৩,৯৩,১৯৬</t>
  </si>
  <si>
    <t>১,৪৬,৯৮,৫৪১</t>
  </si>
  <si>
    <t>2,00,600</t>
  </si>
  <si>
    <t>পিপিআর ২০০৮ এর বিধি লংঙ্ঘন আরএফকিউ পদ্ধিতিতে মালামাল ক্রয়/মেরামত কাজে অনিয়মিত ব্যয়</t>
  </si>
  <si>
    <t>পূর্ববর্তী অর্থবছরের বিল একাউন্টস পেয়েবল ভাউচার (এপিভি) এর মাধ্যমে দায় সৃষ্টি করে পরিশোধ করায় বোর্ডের অনিয়মিত ব্যয় ৩,৪৩,১২,২১২ টাকা।</t>
  </si>
  <si>
    <t>আদর্শ দরপত্র দলিল অনুযায়ী দরপত্র দলিল প্রণয়ন ব্যতিত অনিয়মিতভাবে ১,২৫,০৯,০২১ টাকার চুক্তি সম্পাদন ।</t>
  </si>
  <si>
    <t>নির্বাহী প্রকৌশলী, বিক্রয় ও বিতরণ বিভাগ, কুলাউড়া, বিউবো,    মৌলভীবাজার</t>
  </si>
  <si>
    <t>বিচ্ছিন্নকৃত গ্রাহকের নিকট ১০,৩৪৩০৩.০৭ টাকা বকেয়া থাকায় বোর্ডের আর্থিক ক্ষতির আশংকা।</t>
  </si>
  <si>
    <t>১৯৯৯-২০০২</t>
  </si>
  <si>
    <t>মূল্য সংযোজন কর কম আদায় সংক্রান্ত।</t>
  </si>
  <si>
    <t>44(1)</t>
  </si>
  <si>
    <t>প্রি-পেইড মিটার প্রতিস্থাপনের সময় বিভিন্ন শ্রেণীর গ্রাহকের নিকট হতে পূর্বের বকেয়া আদায় না করায় প্রতিষ্ঠানের আর্থিক ক্ষতি ২,৩৯,৬১,৯১৩/- (দ্ই কোটি ঊনচল্লিশ লক্ষ একষট্টি হাজার নয়শত তের) টাকা।</t>
  </si>
  <si>
    <t xml:space="preserve">নির্বাহী প্রকৌশলী, বিক্রয় ও বিতরণ বিভাগ, বিউবো, হবিগঞ্জ
</t>
  </si>
  <si>
    <t>নিখোঁজ গ্রাহকদের নিকট বকেয়া।</t>
  </si>
  <si>
    <t>বিভিন্ন শ্রেণির গ্রাহকের নিকট হতে বকেয়া বিদ্যুৎ বিল আদায় না করায় পিডিবি’র আর্থিক ক্ষতি ২৬,১০,৩১,৭৬০/- টাকা।</t>
  </si>
  <si>
    <t>27,44,555</t>
  </si>
  <si>
    <t>31(11)</t>
  </si>
  <si>
    <t>নির্বাহী প্রকৌশলী, বিক্রয় ও বিতরন বিভাগ, বিউবো, হবিগঞ্জ।</t>
  </si>
  <si>
    <t>১,০৬,৬৯,৪৪২</t>
  </si>
  <si>
    <t>শিরোনামঃ অবকাঠামো উন্নয়নমূলক কাজের যথাযথ প্রমাণক ব্যতীত বিল পরিশোধ করায় অনিয়মিত ব্যয় ৩৯,৮৩,৬১৭/- (উনচল্লিশ লক্ষ তিরাশি হাজার ছয়শত সতেরো) টাকা।</t>
  </si>
  <si>
    <t>৩৯,৮৩,৬১৭</t>
  </si>
  <si>
    <t>মন্ত্রণালয়ের নির্দেশ উপেক্ষা করে প্রাপ্যতার চাইতে অধিক হারে অধিকাল ভাতা প্রদান করায় সংস্থার আর্থিক ক্ষতি ৩৩,৫৪,৬২৫.০০ টাকা</t>
  </si>
  <si>
    <t>আয়কর কর্তন না করা।</t>
  </si>
  <si>
    <t>২০০১-২০১২</t>
  </si>
  <si>
    <t>টার্ণকি ঠিকাদার মেসার্স সাংহাই ইলেকট্রিক গ্রুপ এর বৈদেশিক মুদ্রায় পরিশোধযোগ্য ইনভয়েস হতে বিধি মোতাবেক আয়কর ও মূসক কর্তন ব্যতিত বিল পরিশোধে ক্ষতি ৩১,০২,০১,১৩০/- টাকা ।</t>
  </si>
  <si>
    <t>টার্ণকি চুক্তির আওতায় দেশীয় মুদ্রায় পরিশোধিত পূর্ত কাজের বিল হতে মূসক ও আয়কর পরিশোধ না করে জিওবি হতে পরিশোধ এবং কম রাজস্ব পরিশোধে ক্ষতি ৯৬,৫৬,৫৪৭/- টাকা ।</t>
  </si>
  <si>
    <t>চুক্তি সম্পাদন না করায় জিওবির ক্ষতি।</t>
  </si>
  <si>
    <t>বিলম্বিত মাসুল আদায় করা হয় নাই।</t>
  </si>
  <si>
    <t>আরডিপিপি সংশোধনের ফলে ক্ষতি।</t>
  </si>
  <si>
    <t>প্রকল্প পরিচালক, বিদ্যুৎ বিতরণ ব্যবস্থা উন্নয়ন প্রকল্প, সিলেট জোন বিউবো, সিলেট</t>
  </si>
  <si>
    <t>33(7)</t>
  </si>
  <si>
    <t>যথাসময়ে কার্যসম্পাদন দেখিয়ে ঠিকাদারের নিকট হতে বিলম্ব জরিমানা (এলডি) আদায় না করায় প্রতিষ্ঠানের আর্থিক ক্ষতি ১৬,৫১,২৩,৪৯৫/- (ষোল কোটি একান্ন লক্ষ তেইশ হাজার চারশত পঁচানব্বই) টাকা।</t>
  </si>
  <si>
    <t>43(2)</t>
  </si>
  <si>
    <t>অর্থ মন্ত্রণালয়ের আদেশ লঙ্গন করে ভূমি অধিগ্রহণে জমির মূল্যের সাথে ৭.৫% এবং ২% হারে আনুষাঙ্গিক ব্যয় পরিশোধ করায় সংস্থার আর্থিক ক্ষতি ২,১৮,৮৬,১৬১/-টাকা।</t>
  </si>
  <si>
    <t>চুক্তি সম্পাদন নোটিশ (NoA) জারীর পরে নির্ধারিত সময়ের মধ্যে চুক্তি সম্পাদন না করায় অনিয়মিত ব্যয় ২,০৭,০৬,২০০/- টাকা।</t>
  </si>
  <si>
    <t>এলডি কর্তন কমিটির সম্মানী বাবদ অনিয়মিতভাবে ১,১৭,০০০/- টাকা পরিশোধ করায় প্রতিষ্ঠানের আর্থিক ক্ষতি ।</t>
  </si>
  <si>
    <t>দাপ্তরিক প্রাক্কলিত মূল্যেও চেয়ে উধবদরে দাখিলকৃত দরদাতার সাথে চুক্তি সমাপাদনের ফলে প্রতিষ্টানের আর্থিক ক্ষতি ৯৬,১৩৭৯১</t>
  </si>
  <si>
    <t>পিপিআর ২০০৮ এর বিধি লংঙ্ঘনপূর্বক নির্ধারিত সময়ে কার্য সম্পাদনে ব্যর্থ ঠিকাদারকে আরোপযোগ্য বিলম্ব জরিমানা কর্তন না করে বিল পরিশোধ করায় আর্র্থিক ক্ষতি</t>
  </si>
  <si>
    <t>দাপ্তরিক প্রাক্কলিত মূল্যে পুনঃ পরীক্ষা এবং কম উদ্ধৃত করায় কারণ অনুসন্ধান না করে অস্বাভাবিক নিম্নদরে কার্যাদেশ প্রদান করায় অনিয়মিত ব্যয়</t>
  </si>
  <si>
    <t>মন্ত্রণালয়ের নির্দেশনা উপেক্ষা করে সরকারি প্রতিষ্ঠান থেকে  ইনস্যুলেটর ও ট্রান্সফরমার ক্রয় না   করে  বাহিরের কোম্পানি থেকে অনিয়মিতভাবে ৭২১৫৮২৬৭ টশার ক্রয় কার্যসম্পাদন</t>
  </si>
  <si>
    <t>প্রয়োজনের তুলনায় অধিক মালামাল ক্রয় করায় সরকারের অর্থের অপচয় ১০৫,০১,৫৩,০৬৯ টাকা।</t>
  </si>
  <si>
    <t>দাপ্তরিক প্রাক্কলিত ব্যয় (Official Cost Estimate) প্রস্তুত কমিটি গঠন ব্যতিরেকে দরপত্র প্রস্তুত করে চুক্তি স্বাক্ষর করায় অনিয়মিত ব্যয় ৪,৭৯,৭০,০৪৫/- টাকা।</t>
  </si>
  <si>
    <t>প্রাক্বলিত দর প্রকাশ করে যোগসাজশের মাধ্যমে চুক্তি স্বাক্ষর করায় অনিয়মিত ব্যয় ২,১৮,৪১,৭৩৪/- টাকা।</t>
  </si>
  <si>
    <t>যথাসময়ে ভেরিয়েশন অর্ডার অনুমোদন না করায় অনিয়মিত ব্যয় ২৬,১২,৩৯৬ টাকা।</t>
  </si>
  <si>
    <t>ভেরিয়েশন অর্ডার অনুমোদনের পূর্বেই ঠিকাদার প্রতিষ্ঠানকে বিল পরিশোধ করায় অনিয়মিত ব্যয় ৬,৪৫,৯২১ টাকা।</t>
  </si>
  <si>
    <t>ব্যবস্থাপক, বিবিয়ানা-৩,  ৪০০ মেঃ. ও. কম্বাইন্ড সাইকেল বিদ্যুৎ কেন্দ্র, নবীগঞ্জ, হবিগঞ্জ</t>
  </si>
  <si>
    <t>প্রাপ্যতার অতিরিক্ত অধিকাল ভাতা প্রদান করায় প্রতিষ্টানের আর্থিক ক্ষতি</t>
  </si>
  <si>
    <t>প্রধান প্রকৌশলী, বিবিয়ানা-৩,  ৪০০ মেঃ. ও. কম্বাইন্ড সাইকেল বিদ্যুৎ কেন্দ্র, নবীগঞ্জ, হবিগঞ্জ</t>
  </si>
  <si>
    <t>সাশ্রয়ী প্ল্যান্টের বিদ্যুৎ উৎপাদনের সক্ষমতা তুলনায় কম বিদ্যুৎ উৎপাদন করায় পিডিবির আর্থিক ক্ষতি ২৬৪,৪২,৩৫,১৬৮ (দুইশত চৌষট্টি কোটি বিয়াল্লিশ লক্ষ পঁয়ত্রিশ হাজার একশত আটষট্টি) টাকা</t>
  </si>
  <si>
    <t>দরপত্রের শর্তানুযায়ী দরপত্রে অংশগ্রহণকারী সকল দরদাতা নন-রেসপন্সিভ/অযোগ্য হওয়া সত্ত্বেও দরপত্র বাতিল বা পুনঃদরপত্র আহবান না করে ২য়/৩য় সর্বনিম্ন অযোগ্য দরদাতার সাথে চুক্তি সম্পাদন ও বিল পরিশোধ করায় বোর্ডের ৪৬৮৮৬৯৪ (ছিচল্লিশ লক্ষ আটাশি হাজার ছয়শত চুরানব্বই) টাকা আর্থিক ক্ষতি।</t>
  </si>
  <si>
    <t xml:space="preserve">পিপিএ-এর বাধ্যতামূলক শর্ত লঙ্ঘন করে নির্ধারিত সময়ে বীমা নবায়ন না করায় বীমার প্রিমিয়ামের উপর প্রযোজ্য ভ্যাট বাবদ সরকারের সর্বমোট ৪,৩৪,৪১,৪৩৬ (চার কোটি চৌত্রিশ লক্ষ একচল্লিশ হাজার চারশত ছত্রিশ) টাকা রাজস্ব ক্ষতি। </t>
  </si>
  <si>
    <t>চুক্তির তুলনায় অত্যাধিক বেশি মূল্যে বিল পরিশোধের ফলে পিডিবির আর্থিক ক্ষতি ৪,২৯,৭২,১০১ টাকা</t>
  </si>
  <si>
    <t>পিপিএ-এর বাধ্যতামূলক শর্ত লঙ্ঘন করে নির্ধারিত সময়ে বীমা নবায়ন না করায় বীমা প্রিমিয়াম বাবদ সরকারের সর্বমোট ২৮,৯৬,০৯,৫৭৬ (আটাশ কোটি ছিয়ানব্বই লক্ষ নয় হাজার পাঁচশত ছিয়াত্তর) টাকা আর্থিক ক্ষতি এবং সরকারি বিদ্যুৎ উৎপাদন সম্পদকে ঝুঁকির মধ্যে নিপতিতকরণ।</t>
  </si>
  <si>
    <t xml:space="preserve">দাপ্তরিক প্রাক্কলিত মূল্য বাস্তব সম্মত হওয়ার পরও অস্বাভাবিক নিম্নদরে অনিয়মিতভাবে  ৩,৫৭,৮৫,০৩৩(তিন কোটি সাতান্ন লক্ষ পঁচাশি হাজার তেত্রিশ)টাকার চুক্তি সম্পাদন ও বিল প্রদান </t>
  </si>
  <si>
    <t xml:space="preserve">দাপ্তরিক প্রাক্কলিত মূল্য বাস্তব সম্মত হওয়ার পরও অস্বাভাবিক নিম্নদরে নির্বাচিত ঠিকাদারের ওপর পারফরমেন্স সিকিউরিটি ২৫% এর ১০% ধার্য করায় বোর্ডের আর্থিক ক্ষতি ২৩৫৭৩৫ (দুই লক্ষ পঁয়ত্রিশ হাজার সাতশত পঁয়ত্রিশ) টাকা </t>
  </si>
  <si>
    <t>ব্যবস্থাপক, বিবিয়ানা-সাউথ,   ৪০০ মেঃ. ও. কম্বাইন্ড সাইকেল বিদ্যুৎ কেন্দ্র, নবীগঞ্জ, হবিগঞ্জ</t>
  </si>
  <si>
    <t>পারফরম্যান্স স্ট্যান্ডাডের অধিক অক্রিলারী পাওয়ার কনজাম্পশন হওয়ায় আর্থিক ক্ষতি</t>
  </si>
  <si>
    <t>প্রধান প্রকৌশলী, বিবিয়ানা-সাউথ,   ৪০০ মেঃ. ও. কম্বাইন্ড সাইকেল বিদ্যুৎ কেন্দ্র, নবীগঞ্জ, হবিগঞ্জ</t>
  </si>
  <si>
    <t>বিদ্যুৎ কেন্দ্র পরিচালনার জন্য সহায়ক বিদ্যুৎ খরচের নির্ধারিত হার অপেক্ষা অধিক হারে বিদ্যুৎ খরচ হওয়ায় পিডিবির আর্থিক ক্ষতি ৫৫৯৩৪১৩৩ (পাঁচ কোটি উনপঞ্চাশ লক্ষ চৌত্রিশ হাজার একশত তেত্রিশ) টাকা।</t>
  </si>
  <si>
    <t>ঠিকাদারের প্রতি আনুকল্য প্রদর্শনপূর্বক পারফরমেন্স সিকিউরিটির মেয়াদ বৃদ্ধি না করে ঠিকাদারকে ১৫৯৯৬৭৭/- টাকার আর্থিক সুবিধা প্রদান।</t>
  </si>
  <si>
    <t>ঠিকাদারকে আর্থিক সুবিধা প্রদানের লক্ষ্যে দরপত্রের শর্তানুযায়ী কার্যাদেশ প্রদানের ৭ কর্মদিবেসের মধ্যে Program of Works দাখিল না করার পরও চুক্তিতে নির্ধারিত ১০০০০০০/- (দশ লক্ষ) টাকার স্থগিত না করে অনিয়মিতভাবে বিল পরিশোধ।</t>
  </si>
  <si>
    <t>প্রধান প্রকৌশলীর কার্যালয়, সিলেট ২২৫ মে.ও. কম্বাইন্ড সাইকেল পাওয়ার প্ল্যান্ট, কুমারগাঁও, সিলেট</t>
  </si>
  <si>
    <t xml:space="preserve">প্ল্যান্টের অনুমোদতি আউটজে আওয়াররে অতিরিক্ত আউটজে এর কারণে বিদ্যুৎ উৎপাদন ব্যহত হওয়ায় আর্থিক ক্ষতি ২২৭,১৯,৫৯,১২৮ টাকা।        </t>
  </si>
  <si>
    <t>টেস্ট রিপোর্ট ব্যতীত পিএলআই রিপোর্টের মাধ্যমে সরবরাহকৃত মালামাল গ্রহণপূর্বক ঠিকাদারকে বিল পরিশোধ করায় বোর্ডের অনিয়মিত ব্যয় ১১,২৮,৫৩,৪০৬ টাকা।</t>
  </si>
  <si>
    <t>চুক্তির শর্ত মোতাবেক নির্ধারিত সময়ে প্লান্টের শিডিউল ওভারহুলিং না করায় অনিয়ম চুক্তি সম্পাদন।</t>
  </si>
  <si>
    <t>ট্রান্সফরমার চুরি বাবদ ক্ষতি ।</t>
  </si>
  <si>
    <t>অর্থ মন্ত্রণালয়ের নির্দেশনা উপেক্ষা করে মাসিক মূল বেতনের অতিরিক্ত অধিকাল ভাতা প্রদানের কারণে বোর্ডের ১৩,০৮,৫২৯/- টাকা আর্থিক ক্ষতি।</t>
  </si>
  <si>
    <t>77(1)</t>
  </si>
  <si>
    <t xml:space="preserve">আবাসিক, বাণিজ্যিক, ক্ষুত্র শিল্প ও নির্মাণ বিলের বিভিন্ন গ্রাহকদের নিকট হতে বিদু্ৎ বিল বাবদ ১,৭৫,৩৪,৫১১/- (এক কোটি পঁচাত্তর লক্ষ চৌত্রিশ হাজার পাঁচশত এগার) টাকা অনাদায়ী ।  </t>
  </si>
  <si>
    <t>77(3)</t>
  </si>
  <si>
    <t>স্টোরে পর্যাপ্ত মালামাল মজুদ থাকা সত্ত্বেও অতিরিক্ত মালামাল ক্রয় করায় বোর্ড/সরকারের আর্থিক অপচয়৬,৬৪,১৮০/-টাকা।</t>
  </si>
  <si>
    <t>এইচটি গ্রাহকের বিদ্যুতের সরবরাহ পয়েন্টে মাসিক গড় পাওয়ার ফেক্টর (পিএফ) এর পরিমাণ নির্ধারিত সীমার (০.৭৫) নীচে নেমে গেলেও গ্রাহকের সংযোগ বিচ্ছিন্ন করা হয়নি।</t>
  </si>
  <si>
    <t>২০২4-২০২5</t>
  </si>
  <si>
    <t>সার্ভে রিপোর্ট ব্যতীত ট্রান্সফর্মার উদ্ধার ও স্থাপনে কাল্পনিক কাজ দেখিয়ে ঠিকাদারকে বিল পরিশোধ করায় বোর্ডের আর্থিক ক্ষতি ৪৫,৮২,৩২৫ টাকা।</t>
  </si>
  <si>
    <r>
      <t>সংযোগ বিচ্ছিন্ন গ্রাহকের নিকট বিদ্যুৎ বিল বাবদ 3,27,088/-</t>
    </r>
    <r>
      <rPr>
        <b/>
        <sz val="10"/>
        <rFont val="NikoshBAN"/>
      </rPr>
      <t xml:space="preserve"> </t>
    </r>
    <r>
      <rPr>
        <sz val="10"/>
        <rFont val="NikoshBAN"/>
      </rPr>
      <t xml:space="preserve">টাকা বকেয়া। </t>
    </r>
  </si>
  <si>
    <t>3,27,088</t>
  </si>
  <si>
    <t>নির্ধারিত হারে মূল্য সংযোজন কর (ভ্যাট) কর্তন না করায় সরকারের রাজস্ব ক্ষতি</t>
  </si>
  <si>
    <t>চুক্তির শর্ত মোতাবেক যথাযথ স্পেসিফিক অভিজ্ঞতা না থাকা সত্ত্বেও নন-রেসপনসিভ যোগ্য দরপত্র মূল্যায়নপূর্বক রেসপনসিভ করে চুক্তি সম্পাদনের মাধ্যমে অনিয়মিত ব্যয়</t>
  </si>
  <si>
    <t>৯,৮৯,৩৮৭</t>
  </si>
  <si>
    <t>টেন্ডার ডকুমেন্টসের টিডিএস অনুযায়ী যথাযথ লিকুইড এসেট না থাকা সত্ত্বেও নন-রেসপন্সিভ যোগ্য দরদাতাকে অনিয়মিতভাবে মূল্যায়নে রেসপন্সিভ দেখিয়ে ৯,৯৯,৭৫০ টাকার চুক্তি সম্পাদন।</t>
  </si>
  <si>
    <t>প্রয়োজন যাচাই ব্যতিত মালামালক ক্রয় করে স্টোরে দীর্ঘদিন যাবৎ মালামাল মজুদ করে রাখায় বোর্ড/সরকারের আর্থিক ক্ষতি ২৬,৪১,৩২৫ /- টাকা।</t>
  </si>
  <si>
    <t>স্টোরে পর্যাপ্ত মালামাল মজুদ থাকা সত্ত্বেও অতিরিক্ত মালামাল ক্রয় করায় বোর্ড/সরকারের আর্থিক অপচয় ৬,২৪,০৩২/-টাকা।</t>
  </si>
  <si>
    <t>135</t>
  </si>
  <si>
    <t>যোগ্যতা না থাকা সত্বেও ঠিকাদারকে রেসপন্সিভ হিসেবে বিবেচনা করে কার্যাদেশ প্রদান ও চুক্তি স্বাক্ষর করায় অনিয়মিত ব্যয় ১,৭৪,৯৯৫ টাকা।</t>
  </si>
  <si>
    <t>অর্থ মন্ত্রণালয়ের নির্দেশ উপেক্ষা করে মাসিক মূল বেতনের অতিরিক্ত অধিকাল ভাতা প্রদানের কারণে বোর্ডের 13,08,529/- টাকা আর্থিক ক্ষতি ।</t>
  </si>
  <si>
    <t>দাপ্তরিক প্রাক্কলিত মূল্য প্রকাশ করে পারস্পরিক যোগসাজসের মাধ্যমে ঠিকাদার নির্বাচন পূর্বক অনিয়মিতভাবে কার্যসম্পাদন।</t>
  </si>
  <si>
    <t>১৯,৭৯,১৩৪</t>
  </si>
  <si>
    <t>নির্ধারিত হার অপেক্ষা বেশি হারে annual construction turnover নির্ধারণপূর্বক অনিয়মিতভাবে ৯,৯১,৯৫৭ টাকার চুক্তিসম্পাদন।</t>
  </si>
  <si>
    <t>চুক্তি অনুসারে নির্ধাতি সময়ে কার্য সম্পাদনে ব্যর্থ ঠিকাদারকে বিলম্ব জরিমানা আরোপ না করায় প্রতিষ্ঠানের আর্থিক ক্ষতি ১,৪৩,৯০৫ টাকা।</t>
  </si>
  <si>
    <t>বিদ্যুতের সরবরাহ পয়েন্টে মাসিক গড় পাওয়ার ফেক্টর (পিএফ) এর পরিমাণ নির্ধারিত সীমার (০.৭৫) নীচে নেমে গেলেও গ্রাহকের সংযোগ বিচ্ছিন্ন করা হয়নি।</t>
  </si>
  <si>
    <t>চুক্তির শর্তানুযায়ী আদায়কৃত বিদ্যুৎ বিলের অর্থ আদায়কারী ব্যাংক কর্তৃক যথাসময়ে বাবিউবো’র আঞ্চলিক হিসাবে স্থানান্তর না করায় বোর্ডের অনিয়মিত ব্যয় ৩,১৬,১৮,২৩৫ টাকা।</t>
  </si>
  <si>
    <t xml:space="preserve">অনিয়মিত ব্যয় </t>
  </si>
  <si>
    <t>কোটেশন দাখিলকারী যোগ্যতার প্রমাণস্বরূপ দলিলাদি দাখিল না করা স্বত্তেও অনিয়মিতভাবে কোটেশন মূল্যায়নপুর্বক ১,৯৯,৯১৮ টাকা চুক্তি সম্পাদন।</t>
  </si>
  <si>
    <t>72.2</t>
  </si>
  <si>
    <t>পিপিআর, ২০০৮ এর বিধি উপেক্ষা করে একক কাজকে খন্ড খন্ড করে দরপত্র আহবান পূর্বক চুক্তি সম্পাদনের ফলে অনিয়মিত ব্যয় ৩২,৯১,৭৬৬ টাকা।</t>
  </si>
  <si>
    <t>80.4</t>
  </si>
  <si>
    <t>পিপিআর লংঘনপূর্বক চুক্তি ব্যতিত জ্বালানি বিল পরিশোধ করায় অনিয়মিত ব্যয়</t>
  </si>
  <si>
    <t>১৫(৬)</t>
  </si>
  <si>
    <t>বিদ্যুৎ গ্রাহকের নিকট হতে বিদ্যুৎ বিল আদায়ের সময় বিলম্ব মাসুল ফি, পুনঃ সংযোগ ফি এবং যন্ত্রপাতি ভাড়া হতে প্রাপ্ত অর্থের উপর ভ্যাট কর্তন করে জমা প্রদান কম করায় সরকারের রাজস্ব ক্ষতি।</t>
  </si>
  <si>
    <t>১০,৪৪,৮৬০</t>
  </si>
  <si>
    <t>আবাসিক প্রকৌশলী, ছাতক বিদ্যুৎ সরবরাহ, বিউবো, ছাতক, সুনামগঞ্জ।</t>
  </si>
  <si>
    <t>ইজিপির গাইড লাইন অনুসরণ না করে অনিয়মিত ভাবে চুক্তি সম্পাদন</t>
  </si>
  <si>
    <t>৪৩,০৫,০৮০</t>
  </si>
  <si>
    <t>সংযোগ বিচ্ছিন্ন গ্রাহকের নিকট বিদ্যুৎ বিল বাবদ বকেয়া আদায় না করায় সংস্থার ক্ষতি ১,৫৭,৭০,৯৭৫/- টাকা।</t>
  </si>
  <si>
    <t>তালিকাভূক্ত সরবরাহকারী/ঠিকাদারদের নিকট হতে শ্রেণিভিত্তিক তালিকাভূক্তি ফি/ নবায়ন ফি আদায় না করায় সংস্থার ক্ষতি ১,১৫,০০০/- টাকা আর্থিক ক্ষতি।</t>
  </si>
  <si>
    <t>77()</t>
  </si>
  <si>
    <t>79.2</t>
  </si>
  <si>
    <t>চুক্তি অনুসারে নির্ধারিত সময়ে কার্য সম্পাদনে ব্যর্থ ঠিকাদারকে বিলম্ব জরিমানা আরোপ না করায় প্রতিষ্ঠানের আর্থিক ক্ষতি ৬০,০০০ টাকা।</t>
  </si>
  <si>
    <t>নিলামযোগ্য মালামাল (গাড়িসহ বৈদ্যতিক মালামাল) দীর্ঘদিন ফেলে রেখে নিলামে ক্রিয় না করায় বিপিডিবি’র তথা সরকারের আর্থিক ক্ষতি ।</t>
  </si>
  <si>
    <t>77(11)</t>
  </si>
  <si>
    <t>77(17)</t>
  </si>
  <si>
    <t>77(8)</t>
  </si>
  <si>
    <t>11,99,572</t>
  </si>
  <si>
    <t>72(1)</t>
  </si>
  <si>
    <t>অগ্রদত্ত এবং ভ্রমণ ভাতা বাবদ ৪৪,৫২,৭২৪/- (চুয়াল্লিশ লক্ষ বায়ান্ন হাজার সাতশত চব্বিশ) টাকা ব্যয় করা হলেও এ সংক্রান্ত কোন বিল ভাউচার নিরীক্ষায় পাওয়া যায়নি ।</t>
  </si>
  <si>
    <t>77(5)</t>
  </si>
  <si>
    <t xml:space="preserve">অবকাঠামো উন্নয়নমূলক কাজের যথাযথ প্রমাণক ব্যতীত বিল পরিশোধ করায়  অনিয়মিত ব্যয় </t>
  </si>
  <si>
    <t>প্রকল্প পরিচালক, বিদ্যুৎ বিতরণ ব্যবস্থা উন্নয়ন প্রকল্প, বিউবো, সিলেট</t>
  </si>
  <si>
    <t>56</t>
  </si>
  <si>
    <t>অনুমোদিত অর্গানোগ্রাম বহির্ভূত কর্মকর্তা নিয়োগ করায় প্রকল্পের অনিয়মিত ব্যয় ১৪,৩০,৯১০/-(চৌদ্দ লক্ষ ত্রিশ হাজার নয়শত দশ) টাকা।</t>
  </si>
  <si>
    <t>ঠিকাদার কর্তৃক দরপত্রের বৈধতার মেয়াদ বৃদ্ধির আবেদন যথোপযুক্ত সময়ে না করে সরবরাহকারীর সাথে অনিয়মিতভাবে ৫,১১,৩৮,০০০/- টাকার চুক্তি সম্পাদন।</t>
  </si>
  <si>
    <t>পিপিআর, ২০০৮ লঙ্ঘনপূর্বক নির্ধারিত সময়ে কার্য সম্পাদনে ব্যর্থ ঠিকাদারকে আরোপযোগ্য বিলম্ব জরিমানা (LD) কর্তন না করে বিল পরিশোধ করায় আর্থিক ক্ষতি ৫১,১৩,৮০০/-টাকা।</t>
  </si>
  <si>
    <t xml:space="preserve"> দরপত্র বিজ্ঞপ্তি সংশোধন করা হলেও সংশোধিত বিজ্ঞপ্তি পত্রিকায় প্রকাশ না করে অনিয়মিতভাবে চুক্তি সম্পাদন</t>
  </si>
  <si>
    <t>১৩,৩৩,৮৪৭</t>
  </si>
  <si>
    <t>পিপিআর ২০০৮ এর শর্ত পরিপালন না কওে আরএফকিউ পদ্ধতিতে বাৎসরিক সিলিং সীমার অতিরিক্ত ক্রয় করায় অনিয়মিত ব্যয়</t>
  </si>
  <si>
    <t>১৫,৬৬,২০৪</t>
  </si>
  <si>
    <t>স্টক রেজিস্টার যথাযথ সংরক্ষন ও বাস্তব যাচাই প্রতিবেদন তৈরি না করায় প্রতিষ্ঠানের স্থায়ী সম্পদের হিসাবে অনিশ্চিত</t>
  </si>
  <si>
    <t>অব্যবহারযোগ্য মালামাল দীর্ঘদিন স্টোরে পরে থাকার পরও কনডেমনেশন/নিলাম না করায় বিউবোর আর্থিক ক্ষতি</t>
  </si>
  <si>
    <t>পিপিআর-২০০৮ এর শর্ত  প্রতিপালন না করে বাৎসরিক সিলিং সীমার অতিরিক্ত ক্রয় করায় অনিয়মিত ব্যয়</t>
  </si>
  <si>
    <t>১৬,৫৬,৬৩৫</t>
  </si>
  <si>
    <t xml:space="preserve"> উৎপাদনের মূখ্য ব্যয়ের সাথে প্রশাসনিক খাতের ব্যয় অন্তর্ভুক্ত করায় বিদ্যৎ উৎপাদনের মূখ্য ব্যয় অতিরিক্ত প্রদর্শন করা হয়েছে</t>
  </si>
  <si>
    <t>সিলেট</t>
  </si>
  <si>
    <t>অনিষ্পন্ন অডিট আপত্তির  প্রতিবেদন</t>
  </si>
  <si>
    <t>ফাপাড(১৭-০৬-২০২৬ খ্রি.)</t>
  </si>
  <si>
    <t>ক্র:নং</t>
  </si>
  <si>
    <t>সাধারণ</t>
  </si>
  <si>
    <t>অগ্রিম</t>
  </si>
  <si>
    <t>ত্রিপক্ষীয়/দ্বিপক্ষীয় সভায় আলোচনা</t>
  </si>
  <si>
    <t>ত্রিপক্ষীয়/দ্বিপক্ষীয় সভায় সুপারিশ</t>
  </si>
  <si>
    <t>ব্রডশিট জবাব প্রেরণ</t>
  </si>
  <si>
    <t>নিষ্পত্তির সুপারিশ</t>
  </si>
  <si>
    <t>৯=৭+৮</t>
  </si>
  <si>
    <t>১৬ শহর বিদ্যুৎ বিতরণ প্রকল্প</t>
  </si>
  <si>
    <t>ইলেক্ট্রিফিকেশন এট ভাসানচর অফ নোয়াখালী ডিস্ট্রিক্ট প্রজেক্ট</t>
  </si>
  <si>
    <t>২১০  মেঃওঃ সিদ্দিরগঞ্জ থারমাল পাওয়ার ষ্টেশন প্রকল্প</t>
  </si>
  <si>
    <t>৯ শহর বিদ্যুৎ বিতরন প্রকল্প</t>
  </si>
  <si>
    <t>ঘোড়াশাল ৩য় ইউনিট রি-পাওয়ারিং প্রকল্প</t>
  </si>
  <si>
    <t>কনভারশন অব বাঘাবাড়ী ১০০ মেঃওঃ  টু ১৫০ মেঃওঃ সিসিপিপি প্রজেক্ট</t>
  </si>
  <si>
    <t xml:space="preserve">কর্ণফুলী পানি বিদ্যুৎ কেন্দ্র (ইউনিট- ৪ ও ৫) পুনর্বাসন প্রকল্প </t>
  </si>
  <si>
    <t>কর্ণফুলী পানি বিদ্যুৎ কেন্দ্র পুনর্বাসন প্রকল্প (ইউনিট-৩)</t>
  </si>
  <si>
    <t>ঘোড়াশাল ৩৬৫ মেঃওঃ সিসিপিপি নির্মাণ প্রকল্প</t>
  </si>
  <si>
    <t>ঘোড়াশাল ৪র্থ ইউনিট রি-পাওয়ারিং প্রকল্প</t>
  </si>
  <si>
    <t>চাঁপাইনবাবগঞ্জ ১০০ মেঃওঃ বিদ্যুৎ কেন্দ্র নির্মান প্রকল্প</t>
  </si>
  <si>
    <t>টেকনিক্যাল এসিসট্যান্স ফর দ্যা করপোরেশন অব বিপিডিবিস</t>
  </si>
  <si>
    <t>প্রি-পেমেন্ট মিটারিং প্রকল্প, বিতরন কুমিল্লা ও ময়মনসিংহ অঞ্চল</t>
  </si>
  <si>
    <t>বড়পুকুরিয়া ৩০০ মেঃওঃ কয়লাভিত্তিক তাপ বিদ্যুৎ কেন্দ্র নির্মাণ প্রকল্প</t>
  </si>
  <si>
    <t>বিবিয়ানা -৩, ৪০০ মেঃওঃ সিসিপিপি নিমার্ণ প্রকল্প</t>
  </si>
  <si>
    <t>বৃহত্তর চট্টগ্রাম বিদ্যুৎ বিতরণ প্রকল্প (ফেজ-৩)</t>
  </si>
  <si>
    <t>বৃহত্তর চট্টগ্রাম বিদ্যুৎ বিতরণ প্রকল্প-ষ্কেডা পূর্নবাসন</t>
  </si>
  <si>
    <t>ভোলা ২২৫ মেঃওঃ কঃসাঃ বিঃকেঃ নির্মাণ প্রকল্প</t>
  </si>
  <si>
    <t>শিকলবাহা ২২৫ মেঃওঃ ডুয়েল ফুয়েল সিসিপিপি নির্মাণ প্রকল্প</t>
  </si>
  <si>
    <t>সেন্ট্রল জোন পাওয়ার ডিষ্ট্রিবিউশন প্রজেক্ট</t>
  </si>
  <si>
    <t>সোলার ষ্ট্রিট লাইটিং প্রেগ্রাম ইন সিটি কর্পোরেশন</t>
  </si>
  <si>
    <t>হরিপুর বিদ্যুৎ কেন্দ্র-১, ২ ও ৩ ইউনিট রেনোভেশন প্রকল্প</t>
  </si>
  <si>
    <t>সৈয়দপুর ১৫০ মে: ও: +- ১০% সিম্পল সাইকেল (এইচএসডি ভিত্তিক) বিদ্যুৎ কেন্দ্র নির্মান প্রকল্প</t>
  </si>
  <si>
    <t>খুলনা ৩৩০ মেঃওঃ ডুয়েল ফুয়েল সিসিপিপি নির্মাণ প্রকল্প, বিউবো, খুলনা</t>
  </si>
  <si>
    <t>স্মাট প্রি-পেমেন্ট মিটিারিং প্রজেক্ট ইন ডিস্ট্রিবিউশন জোনস অফ বিপিডিবি, বিউবো, ঢাকা।</t>
  </si>
  <si>
    <t>Loss fon non deposit of the sales proceeds of tender schedule and bank interest govt. a/c</t>
  </si>
  <si>
    <t>Unspent gov fund not deposited into govt. a/c.</t>
  </si>
  <si>
    <t>Loss of project money due to unnecessary procurement at the end of project.</t>
  </si>
  <si>
    <t>Payment was made against cd/vat without documents and budget provision.</t>
  </si>
  <si>
    <t>২১০  মেঃওঃ সিদ্ধিরগঞ্জ থারমাল পাওয়ার ষ্টেশন প্রকল্প</t>
  </si>
  <si>
    <t>Expenditure for tk. Not supported by proper documentation.</t>
  </si>
  <si>
    <t>Expenditure for tk. as share of head quarters beyond the provision of the pp.</t>
  </si>
  <si>
    <t>2004-2005</t>
  </si>
  <si>
    <t xml:space="preserve">Sales proceeds of tender schedule amounting to tk. 6.70 lakh was not deposited into govt. accounts. </t>
  </si>
  <si>
    <t>Project fund of Tk. 201.84 lakh was remain idle in the a/c of Director(Finance).</t>
  </si>
  <si>
    <t>Tk. 7,65,91,850.00 was spent violating PPR-2003.</t>
  </si>
  <si>
    <t xml:space="preserve">TEC for the work of tk. 93,56,135.00 was formed without following PPR-2003. </t>
  </si>
  <si>
    <t xml:space="preserve">Loss of project money amounting to Tk. 19,88,000.00 for using the vehicles and equipment beyond the project area. </t>
  </si>
  <si>
    <t xml:space="preserve">কনভারশন অব বাঘাবাড়ী _x000D_
১০০ মেঃওঃ  টু ১৫০ মেঃওঃ সিসিপিপি প্রজেক্ট_x000D_
</t>
  </si>
  <si>
    <t>2015-2016</t>
  </si>
  <si>
    <t>Contigency expenditure paid to DC avoiding government order tk. 23,000.00</t>
  </si>
  <si>
    <t>Expenditure amounting tk.45.00 lakh has been shown in excess in the financial statement.</t>
  </si>
  <si>
    <t>Vat &amp; IT amounting to tk. Was not deposited into govt. a/c.</t>
  </si>
  <si>
    <t>ভ্যাট ও আয়কর ( সরকারি )</t>
  </si>
  <si>
    <t>2014-2016</t>
  </si>
  <si>
    <t>Revenue loss amounting to Tk. 12,62,477.00 due to deduction VAT at lower rate than Govt. Rate.</t>
  </si>
  <si>
    <t>Discrepancies were found between the financial statement &amp; PCR resulting FS is overstated and understated. Overstated Tk. 955.70 Lakh Understated Tk. 25214.69 lakh.</t>
  </si>
  <si>
    <t>insurance coverage was not taken as per contract agreement.</t>
  </si>
  <si>
    <t>Experditures was less shown in the iBAS ++in compare to project FS.</t>
  </si>
  <si>
    <t>Upspent fund of CD VAT was showed as expenditure instead of closing balance.</t>
  </si>
  <si>
    <t>Documents of 7.5% AIT Tk. 10000.00 lakh on materials and 311.52 lakh additional 3% AIT &amp; VAT on materials were not produced to audit.</t>
  </si>
  <si>
    <t>২০১৫-২০১৬</t>
  </si>
  <si>
    <t>GOB unspent money TK. 9,76,000/- not re found to Government account.</t>
  </si>
  <si>
    <t>Tax less/not deducted from Agencies bills amounting to TK.</t>
  </si>
  <si>
    <t>USD= 222300.87</t>
  </si>
  <si>
    <t>Loss of Govt. revenue amounting to Tk. 19,85,465.00 due to non-deduction of  income tax and Vat from the bill of wagon fare for carrying fuel.</t>
  </si>
  <si>
    <t>Bank interest accrued amounting to Tk.9,63,356.00 was not deposited in to the govt. head  of accounts.</t>
  </si>
  <si>
    <t>VAT and Income Tax deducted amounting to Tk.13,63,57,402.00 from the Contractor’s bill and paid to HSBC but treasury challan copy was not found against deposition of VAT &amp; Income Tax into the Govt. accounts.</t>
  </si>
  <si>
    <t>Penal interest amounting to Tk. 19,31,953.00 need to be realized dut to non-deposition of Vat &amp;income tax in to the govt. head of account in due time.</t>
  </si>
  <si>
    <t>GOB fund amounting to Tk.10,04,87,000.00 was kept into the project account by APV after closing the project.</t>
  </si>
  <si>
    <t>Unspent Balance amount of project money amounting to Tk.28,32,22,975.89.00 was not surrendered  to the Govt. head of accounts after wind up the project.</t>
  </si>
  <si>
    <t>Revenue loss of tk.for non-deposition of bank interest into govt. head of a/c.</t>
  </si>
  <si>
    <t>Loss of revenue receipt due to non-realization of income tax amounting to tk.from the consultants.</t>
  </si>
  <si>
    <t>Loss of tk.due to not realization of liquidated damage from the contractor.</t>
  </si>
  <si>
    <t>consultancy payment for tk.not supported by audit-able documents.</t>
  </si>
  <si>
    <t>Irregular expenditure of Tk. 48,000.00 for repair of vehicles beyond delegation of Financial Power.</t>
  </si>
  <si>
    <t>Loss of tk.for incurring expenditure against pol of different vehicle which is not related to the project.</t>
  </si>
  <si>
    <t>Govt.deprived of revenue collection and suntaired a loss of Tk 1,10,000.00 due to non deposit of sales proceeds of tender schedule money.</t>
  </si>
  <si>
    <t>As per above. Govt. order the project authority empowered to incur expenditure up to TK 30,000 for repour 2 maintenace in a year, But the project authuority did not follow the above mentioned order.</t>
  </si>
  <si>
    <t>The project authority spent TK 77011.80 due to payment of reward in diffarent officials.</t>
  </si>
  <si>
    <t>বেতন ভাতা সংক্রান্ত</t>
  </si>
  <si>
    <t>TK 26381.38 has been spent for Mobile bill for project Director s of personal use . Ther is no provision for payment of mobile phone bill in the p.p ..</t>
  </si>
  <si>
    <t>Revenue loss of tk.104483.02 For less deduction of vat and income tax from the local currency payment of consultant.</t>
  </si>
  <si>
    <t>Loss of Govt. revenue amounting to tk. 10,49,974.00 due to non deduction of Income tax from Foreign consultants bill.</t>
  </si>
  <si>
    <t>Unspent balance of GOV fund amounting to tk. 13,81,395.00 was not surrendered to govt. account.</t>
  </si>
  <si>
    <t>Violation of Financial Discipline for making agreement of Tk.19,25,00,000.00 for soil filling without invitation tender.</t>
  </si>
  <si>
    <t>Loss of project money of Tk. 13509066.61 for making payment of Income Tax and VAT from project fund.</t>
  </si>
  <si>
    <t>Five project vehicss valued Tk. 9791086.00 were used outside project work.</t>
  </si>
  <si>
    <t>Loss of Tk.134113.00 for payment of Mobile Phone bill and T.V. Cable fare beyond entitlement and contract agreement.</t>
  </si>
  <si>
    <t>Violation of financial description for purchase of projector and computer for Tk. 8,42,400.00 without press tender.</t>
  </si>
  <si>
    <t>Loss of US$ 16633.00 for providing training to the person absconded from the job.</t>
  </si>
  <si>
    <t>Expenditure of Tk. 1341.99/- lakh incurred in excess o contract provision.</t>
  </si>
  <si>
    <t>অসম্পূর্ণ কাজের বিপরীতে সুদসহ মোট মূল্য ২২,০৬,৪২৩(মার্কিন ডলার) অতিরিক্ত পরিশোধজনিত ক্ষতি।</t>
  </si>
  <si>
    <t>মূল চুক্তির অসম্পূর্ণ কাজের বিপরীতে ৩৪,২৪,১০১.০০ (মার্কিন ডলার)সমতুল্য ২,৩৭,৯৫,১৯০.০০ টাকা বিনিয়োগ হিসেবে দেখানো হয়েছে যা সমন্বয় করা হয়নি।</t>
  </si>
  <si>
    <t>বিবিয়ানা -৩, ৪০০ মেঃওঃ সিসিপিপি নির্মান প্রকল্প</t>
  </si>
  <si>
    <t>Contingency amount of Tk. 22,83,435.00 was not deposited into govt. accounts (Miscellaneous Accounts).</t>
  </si>
  <si>
    <t>Govt. deprived from earning revenue Tk. 1,00,000.00 from sale proceeds of tender schedule.</t>
  </si>
  <si>
    <t>বি-৫</t>
  </si>
  <si>
    <t xml:space="preserve">Financial statement was misstated amounting to Tk. 83908622.54 due to unspent CD VAT showed  Expenditure as closing  balance . </t>
  </si>
  <si>
    <t>2020- 2021</t>
  </si>
  <si>
    <t>Unspent CD VAT Balance was not deposited into Government account after closing the Project.</t>
  </si>
  <si>
    <t>Loss of Project money for irregular payment of PRL period salary from project fund beyond actual budget allocation.</t>
  </si>
  <si>
    <t>Irregular payment was made for Lam grant allowance from project fund beyond fund release procedure.</t>
  </si>
  <si>
    <t>Loss of project money valuing tk. 24,94,800/- due to acceptance of tender at higher rate over estimate without approval of Board.</t>
  </si>
  <si>
    <t>Loss of project valuing tk 20,00,000/- due to purchase of similar goods.</t>
  </si>
  <si>
    <t>Loss of Govt.revenue amounting to tk. 1,97,32,324.00 due to not imposing IT &amp; VAT on the supplier's payment.</t>
  </si>
  <si>
    <t>সরকারি জমি অধিগ্রহনকৃত মূল্য বাবদ ৩৬,৬৭,২৭৫.০০ টাকা সরকারি হিসাবে জমা করা হয় নি।</t>
  </si>
  <si>
    <t>বিবিধ হিসাবের কন্টিনজেন্সি বাবদ ১৪,৮৫,১৪৪.০০ টাকা সরকারি হিসাবে জমা করা হয় নি।</t>
  </si>
  <si>
    <t>Incurred expenditure amount of TK. 29,90,014.00 without tender and less deducted VAT amount of tk. 1,94,950.00.</t>
  </si>
  <si>
    <t>Less deducted tax from the consultant salary amount of tk. 9,28,233.00 for non showing TIN certificate.</t>
  </si>
  <si>
    <t>Less deducted VAT &amp; tax amount of TK. 9,20,500.00 from the contractors bill.</t>
  </si>
  <si>
    <t>Less deducted VAT amount of TK. 11,72,063.00 from the contractors bill.</t>
  </si>
  <si>
    <t>2012-2019</t>
  </si>
  <si>
    <t>Expenditure amounting to 129754.75 (one thousand two hundred ninety seven core fifty four lakh seventy five thousand) was less shown in iBAS compared to the Project financial statement.</t>
  </si>
  <si>
    <t>Undue benefit was given to EPC contractor amounting to  EURO 9, 08,000.00 equivalent to Tk. 8,12,38,760.00 receiving service for execution of schedule maintenance ignoring manufacturer warranty assurance service providing.</t>
  </si>
  <si>
    <t>Misuse of project fund due to procurement of Luxury car through EPC contract amounting Tk. 8,69,79,466.88 (Eight core sixty nine lakh nine thousand four hundred sixty six taka and eighty eight paisa) violating contract specification and RDPP provision.</t>
  </si>
  <si>
    <t>Unspent balance of GOB fund amounting to Tk.57, 26,256.75 (Fifty seven lac twenty Six thousand two hundred fifty six &amp; paisa seventy five) only has irregularly been transferred to another account instead of refunding to Govt. account.</t>
  </si>
  <si>
    <t>Contingency charged amounting Tk. 1,57,22,552.20 (one crore fifty seven lac twenty two thousand five hundred and fifty two taka and twenty paisa only) for acquisition of 8.575 acres land were not deposited into Govt. account.</t>
  </si>
  <si>
    <t>IDC and Principal of Foreign Aid amounting to tk. 172, 24, 34,990 (one hundred seventy two core twenty four lakh thirty four thousand nine hundred ninety) was not paid in timely manner.</t>
  </si>
  <si>
    <t>Loss of Govt. revenue amounting to Tk.24,78,235.00 (Twenty four lac seventy eight thousand two hundred thirty five) only Due to less realization income tax from non-residential Consulting firm.</t>
  </si>
  <si>
    <t xml:space="preserve">Reward (KPI) was paid irregularly to the project personnel beyond RDPP provision amounting Tk. 5,56,020.00.  </t>
  </si>
  <si>
    <t>Irregular payment relating to employee service benefit was made amounting Tk. 74, 45,699.00 (seventy four lakh forty five thousand six hundred ninety nine) beyond RDPP provision.</t>
  </si>
  <si>
    <t>সেন্ট্রাল জোন পাওয়ার ডিষ্ট্রিবিউশন প্রজেক্ট</t>
  </si>
  <si>
    <t>Loss of tk. 22587941.00 due to payment of demurrage charge for delay port clearing of imported goods.</t>
  </si>
  <si>
    <t>Revenue loss tk. 100274987.00 due to non/less deduction of vat &amp; it from suppliers &amp; manufactures bills.</t>
  </si>
  <si>
    <t>Excess expenditure was incurred amounting to tk. 392.85 lakh beyond the DPP provision.</t>
  </si>
  <si>
    <t>Project Vehicles were not surrender after completion of  project.</t>
  </si>
  <si>
    <t>অনিয়মিত ভাবে এগজিসটিং ইগজোস্ট্ স্ট্যাক ডিসম্যানটলিং কাজের জন্য ৯,৫০,৮৭৩.০০ টাকা ব্যয়।</t>
  </si>
  <si>
    <t>২০১৯-২০,২০২০-২১ ও ২০২১-২২</t>
  </si>
  <si>
    <t>Irregular payment has been made with contingency expenses and taken disbursement by the DC offices from the project.</t>
  </si>
  <si>
    <t>1,32,194.00</t>
  </si>
  <si>
    <t>No adjustment bills/vouchers were found paid to the DC office against the estimate of land acquisition.</t>
  </si>
  <si>
    <t>67,41,924.93</t>
  </si>
  <si>
    <t>২০১৯-২০,২০২০-২১ ও ২০২১-২৮</t>
  </si>
  <si>
    <t>Discrepancy found between expenditure shown in financial statement and IBAS++.</t>
  </si>
  <si>
    <t>367,52,26,000.00</t>
  </si>
  <si>
    <r>
      <t xml:space="preserve">Irregular expenditure incurred amounting To Tk. 11,10,67,000.00 </t>
    </r>
    <r>
      <rPr>
        <sz val="9"/>
        <rFont val="SutonnyOMJ"/>
      </rPr>
      <t xml:space="preserve">( </t>
    </r>
    <r>
      <rPr>
        <sz val="9"/>
        <rFont val="Nikosh"/>
      </rPr>
      <t>Eleven core ten lakh sixty seven thousand only</t>
    </r>
    <r>
      <rPr>
        <sz val="9"/>
        <rFont val="SutonnyOMJ"/>
      </rPr>
      <t xml:space="preserve">) </t>
    </r>
    <r>
      <rPr>
        <sz val="9"/>
        <rFont val="Nikosh"/>
      </rPr>
      <t xml:space="preserve">from PA </t>
    </r>
    <r>
      <rPr>
        <sz val="9"/>
        <rFont val="SutonnyOMJ"/>
      </rPr>
      <t>(</t>
    </r>
    <r>
      <rPr>
        <sz val="9"/>
        <rFont val="Nikosh"/>
      </rPr>
      <t>ECA</t>
    </r>
    <r>
      <rPr>
        <sz val="9"/>
        <rFont val="SutonnyOMJ"/>
      </rPr>
      <t xml:space="preserve">) </t>
    </r>
    <r>
      <rPr>
        <sz val="9"/>
        <rFont val="Nikosh"/>
      </rPr>
      <t>fund than RADP allocation.</t>
    </r>
  </si>
  <si>
    <t xml:space="preserve">11,10,67,000.00 </t>
  </si>
  <si>
    <r>
      <t xml:space="preserve">Irregular expenditure incurred amounting To Tk. 14,40.760.00 </t>
    </r>
    <r>
      <rPr>
        <sz val="9"/>
        <rFont val="SutonnyOMJ"/>
      </rPr>
      <t>(</t>
    </r>
    <r>
      <rPr>
        <sz val="9"/>
        <rFont val="Nikosh"/>
      </rPr>
      <t>Fourteen lakh forty thousand seven hundred sixty only</t>
    </r>
    <r>
      <rPr>
        <sz val="9"/>
        <rFont val="SutonnyOMJ"/>
      </rPr>
      <t xml:space="preserve">) </t>
    </r>
    <r>
      <rPr>
        <sz val="9"/>
        <rFont val="Nikosh"/>
      </rPr>
      <t>for outsourcing beyond RDPP procurement plan.</t>
    </r>
  </si>
  <si>
    <t xml:space="preserve">14,40,760.00 </t>
  </si>
  <si>
    <t xml:space="preserve">2016-2017 to 2021-22 </t>
  </si>
  <si>
    <t>Unjustified price quote for Civil Works by the Contractor.</t>
  </si>
  <si>
    <t>Irregular contract  was made amounting to tk. 45,03,98,000.00  violating the DPP provision.</t>
  </si>
  <si>
    <t>45,03,98,000.00</t>
  </si>
  <si>
    <t>Expenditure incurred amounting to TK. 279.79 lakh ( two hundred seventy nine point seventy nine lakh ) beyond RADP allocation.</t>
  </si>
  <si>
    <t>Factory Acceptance Tests (FAT) Conducted violating conditions of contract.</t>
  </si>
  <si>
    <t>Irregular expenditure amounting to Tk. 2,21,738/- (two lac twenty one thousand seven hundred thirty eight) incurred due to the payment of leave encashment and Honorarium from Project Fund without provision of DPP.</t>
  </si>
  <si>
    <t>2,21,738</t>
  </si>
  <si>
    <t>Loss of project money worth BDT. 200,04,47,775/- (two hundred crore four lac forty seven thousand seven hundred seventy six) due to incurring excess expenditure for electrical equipment.</t>
  </si>
  <si>
    <t>200,04,47,775</t>
  </si>
  <si>
    <t>Misuse of project money due to receiving substandard prepayment meters in violation of Electricity Rules-2020.</t>
  </si>
  <si>
    <t>Financial facility worth USD. 49,08,975/- equivalent BDT. 60,60,33,990/- (sixty crore sixty lac thirty three thousand nine hundred ninety) given to the contractor due to making payment and depriving consumers of project services taking opportunity of faulty contract.</t>
  </si>
  <si>
    <t>60,60,33,990</t>
  </si>
  <si>
    <t>Project money BDT 58,50,42,564/- (fifty eight crore fifty lac forty two thousand five hundred sixty four) drained out due to giving money to the contractor irregularly showing installation works of prepayment meters in violation of the contract.</t>
  </si>
  <si>
    <t>58,50,42,564</t>
  </si>
  <si>
    <t>Loss of project money worth BDT. 22,56,000/- (twenty two lac fifty six thousand) due to showing expenditure for HHU (Hand Held Unit) beyond project requirement in violation of the contract.</t>
  </si>
  <si>
    <t>22,56,000</t>
  </si>
  <si>
    <t>Loss of project money worth BDT. 9,25,81,017/- (nine crore twenty five lac eighty one thousand seventeen) due to making payment showing excess supply of prepayment meters.</t>
  </si>
  <si>
    <t>9,25,81,017</t>
  </si>
  <si>
    <t>Loss of Govt. revenue amounting to Tk. 1,11,33,754 (One Crore Eleven Lac Thirty Three Thousand Seven Hundred fifty Four) to not insurance coverage of Contract amount.</t>
  </si>
  <si>
    <t>1,11,33,754</t>
  </si>
  <si>
    <t>2019-2020 to 2023-2024</t>
  </si>
  <si>
    <t>Loss of project money amounting to BDT. 10,53,54,657.00 due to not imposing Liquidity Damage for EPC Contractor.</t>
  </si>
  <si>
    <t>10,53,54,657.00</t>
  </si>
  <si>
    <t>Expenditure supporting document for Consultancy payment incurred Tk. 58,19,000 was not produced to audit.</t>
  </si>
  <si>
    <t>58,19,000.00</t>
  </si>
  <si>
    <t>Loss of project money amounting to Tk. 7,91,92,000.00 due to unworthy payment to the consultant.</t>
  </si>
  <si>
    <t>7,91,92,000.00</t>
  </si>
  <si>
    <t>Loss of project money amounting to BDT Tk 67,16,689.00 due to not installing Equipment for User station (PC based) for vending and management client terminal violating contract agreement.</t>
  </si>
  <si>
    <t>67,16,689.00</t>
  </si>
  <si>
    <t>Loss of Govt. revenue amounting to Tk. 75,19,200.00 for non-residence consultancy payment due to less deduction of Income Tax.</t>
  </si>
  <si>
    <t xml:space="preserve"> 75,19,200.00</t>
  </si>
  <si>
    <t>Asset cannot be verified due to not mainting Fixed Assets Register properly by the project authority.</t>
  </si>
  <si>
    <t>_</t>
  </si>
  <si>
    <t>2015-2016 to 2023-2024</t>
  </si>
  <si>
    <t>Loss of project money amounting to BDT. 16,05,70,795.00 due to pay the HSBC Bank as unnecessary loan fee.</t>
  </si>
  <si>
    <t>16,05,70,795.00</t>
  </si>
  <si>
    <t>Irregular payment of Tk. 1589.29 lakh was incurred without approval of RDPP.</t>
  </si>
  <si>
    <t>1589.29 lakh</t>
  </si>
  <si>
    <t>Irregular contract variation was made incurred Tk. 36,15,25,941.47 without approving the competent authority.</t>
  </si>
  <si>
    <t>36,15,25,941.47</t>
  </si>
  <si>
    <t>Excess payment was made amounting to BDT. 15,61,35,000.00 as loan fee beyond RDPP provision.</t>
  </si>
  <si>
    <t xml:space="preserve"> 15,61,35,000.00</t>
  </si>
  <si>
    <t>No investigation committee was formed to determine damages and liability for damaged compressor blade.</t>
  </si>
  <si>
    <t>Without confirming technical specification of Gas Turbine by consultancy firm bill has been paid.</t>
  </si>
  <si>
    <t>Loss of Govt. revenue amounting to BDT. 35,29,58,900.00 for loan fee purpose due to less deduction of VAT.</t>
  </si>
  <si>
    <t>35,29,58,900.00</t>
  </si>
  <si>
    <t>Luxury 3 pajero jeeps costing Tk. 2,46,32,580.67 are not found either in the project plant or in the office.</t>
  </si>
  <si>
    <t>2,46,32,580.67</t>
  </si>
  <si>
    <t>Project benefit of Tk. 11,584.66 lakh was not gained per year due to non-completion of project as per RDPP provision.</t>
  </si>
  <si>
    <t xml:space="preserve"> 11,584.66 lakh </t>
  </si>
  <si>
    <t>Loss of Govt. revenue amounting to Tk. 53,99,207.65 due to less deduction of Income Tax against non-residential consultants' remuneration.</t>
  </si>
  <si>
    <t xml:space="preserve">53,99,207.65 </t>
  </si>
  <si>
    <t>Irregular payment of Tk. 63,11,511.00 was made from project fund for leave encashment beyond RDPP Provision.</t>
  </si>
  <si>
    <t>63,11,511.00</t>
  </si>
  <si>
    <t>Project vehicle was not surrendered to Transport pool.</t>
  </si>
  <si>
    <t>Loss of project money amounting to Tk. 1,59,500.00 for reimbursable payment to consultant due to show expenditure as food cost at home.</t>
  </si>
  <si>
    <t>1,59,500.00</t>
  </si>
  <si>
    <t>Irregular expenditure incurred an amount of Tk. 2,97,53,936.17 (Two Core Ninety Seven Lac Fifty Three Thousand Nine Hundred Thirty Six and Seventeen Paisa) beyond project expenditure.</t>
  </si>
  <si>
    <t xml:space="preserve"> 2,97,53,936.17</t>
  </si>
  <si>
    <t>Irregular payment of Tk. 2,30,27,250.00 and USD 2,26,000.00 was made to the consulting firm extending Tender validity period ignoring PPR-2008.</t>
  </si>
  <si>
    <t>5,05,99,250</t>
  </si>
  <si>
    <t>Loss of Government money amounting to tk. 1,45,11,439.00 (One Core Forty Five Lac Eleven Thousand and Five Hundred Only) was incurred against IDC &amp; Commitment fee in excess rate ignoring Bangladesh Bank Exchange rate.</t>
  </si>
  <si>
    <t>1,45,11,439.00</t>
  </si>
  <si>
    <t>Irregular contract was signed amounting to Tk. 1,58,62,933.88 (One Core Fifty Eight Lac Sixty Two Thousand Nine Hundred Thirty Three Taka and Eighty Eight Paisa Only ) violating PPR-2008.</t>
  </si>
  <si>
    <t>1,58,62,933.88</t>
  </si>
  <si>
    <t>Irregular payment was made amounting to Tk. 11,04,224.00 (Eleven Lac Four Thousand Two Hundred Twenty Four Taka Only ) to the contractor due to give undue facilities without having material test report ignoring contract.</t>
  </si>
  <si>
    <t>11,04,224.00</t>
  </si>
  <si>
    <t>2024-2025</t>
  </si>
  <si>
    <t>Financial loss of BDT 49,35,180.00 due to non-deposit of VAT and Income Tax into the Government Treasury.</t>
  </si>
  <si>
    <t>Loss of project money worth BDT. 1,53,000.00 due to making payment as honorarium to members of Project Steering Committee (PSC), Project Implementation Committee (PIC) and Project Assessment Committee in violation of Cabinet Division Order.</t>
  </si>
  <si>
    <t>Loss of project funds amounting to BDT 1,19,330.00 (Taka One Lakh Nineteen Thousand Three Hundred Thirty) was incurred due to the payment of leave encashment beyond DPP provisions.</t>
  </si>
  <si>
    <t>Undue benefit was extended to the contractor due to failure to Ensure Proper Handover of Hand Held Unit (HHU) and Work Station.</t>
  </si>
  <si>
    <t>Contract awarded an unqualified consultant worth BDT. 11,88,333.00 violating terms of reference for selection of Environmental Specialist through collusive practice.</t>
  </si>
  <si>
    <t>11,88,333.00</t>
  </si>
  <si>
    <t>Loss of project money worth BDT. 1,23,000.00 due to making payment as honorarium to members of the Project Implementation Committee (PIC)" in violation of Cabinet Division Order.</t>
  </si>
  <si>
    <t>1,23,000.00</t>
  </si>
  <si>
    <t>Loss of project money worth BDT. 28,000.00 due to making excess payment as honorarium to members of the Proposal Evaluation Committee (PEC)" in violation of PPR-2008.</t>
  </si>
  <si>
    <t>The DPP was approved by the Planning Division though there was a defective procurement plan in violation of Rule 16(8) of PPR 2008.</t>
  </si>
  <si>
    <t>সৈয়দপুর ১৫০ মেঃওঃ +- ১০% সিম্পল সাইকেল (এইচএসডি ভিত্তিক) বিদ্যুৎ কেন্দ্র নির্মাণ প্রকল্প</t>
  </si>
  <si>
    <t>Loss of Govt. money amounting to BDT 24,90,43,348.00 due to not deducting IT and VAT from the contractor as per instructed procedure of NBR.</t>
  </si>
  <si>
    <t>24,90,43,348.00</t>
  </si>
  <si>
    <t>Undue financial facility amounting to BDT 2,75,35,496.05 given to the contractor due to making double payment against custom clearance in violation of contract.</t>
  </si>
  <si>
    <t>2,75,35,496.05</t>
  </si>
  <si>
    <r>
      <t>প্রি-পেমেন্ট মিটারিং প্রজেক্ট ফর ডিস্ট্রিবিউশন কুমিল্লা এন্ড ময়মনসিংহ জোনস, বিউবো, ঢাকা</t>
    </r>
    <r>
      <rPr>
        <b/>
        <sz val="9"/>
        <rFont val="Nikosh"/>
      </rPr>
      <t xml:space="preserve"> </t>
    </r>
  </si>
  <si>
    <t>Irregular payment amounting EURO 359113.89 Equivalent BDT 5,12,91,807.40 was incurred against goods beyond country-of-origin violating terms of contract.</t>
  </si>
  <si>
    <t>5,12,91,807.40</t>
  </si>
  <si>
    <t>Irregular payment was made to the contractor amounting Euro 70,21,368.00 against 223035 pre-payment meters despite the FAT tested goods were not supplied by the contractor.</t>
  </si>
  <si>
    <t>100,28,53,593.71</t>
  </si>
  <si>
    <t>18844 meters remain unused and no trace, resulting loss of project money worth Euro 5,80,395 or equivalent BDT. 8,28,97,150.00.</t>
  </si>
  <si>
    <t>8,28,97,150.00</t>
  </si>
  <si>
    <t>Irregularly replaced default meter from contractually paid meter violating contract.</t>
  </si>
  <si>
    <t>No revised Schedule of the project was formulated according to project implementation violating contract.</t>
  </si>
  <si>
    <t>Project Vehicles were not surrendered to the Transport-pool under the Ministry of Public Administration at the end of the project.</t>
  </si>
  <si>
    <t>ফাপাড</t>
  </si>
  <si>
    <t>বাংলাদেশ বিদ্যুৎ উন্নয়ন বোর্ড 
অডিট অধিদপ্তর
সরকারী অনিষ্পন্ন  অডিট আপত্তির প্রতিবেদন 
 ঢাকা জোন 31/05/2026খ্রি. পর্যন্ত</t>
  </si>
  <si>
    <t>NON SFI (সাধারণ)</t>
  </si>
  <si>
    <t>SFI(অগ্রিম)</t>
  </si>
  <si>
    <t>ত্রিপক্ষীয় সভায় আলোচনা
(SFI)</t>
  </si>
  <si>
    <t>ত্রিপক্ষীয় সভার সুপারিশ
(SFI)</t>
  </si>
  <si>
    <t>ব্রডশীট জবাব প্রেরণ (SFI)</t>
  </si>
  <si>
    <t xml:space="preserve">9=(7+8) </t>
  </si>
  <si>
    <t>ব্যবস্থাপক, সিদ্ধিরগঞ্জ বিদুৎ কেন্দ্র,বিউবো,নারায়নগঞ্জ</t>
  </si>
  <si>
    <t>কেন্দ্রীয় সচিবালয়,  বিউবো, ঢাকা।</t>
  </si>
  <si>
    <t>পরিচালক, সম্পত্তি ও যানবাহন পরিদপ্তর, বিউবো, ঢাকা।</t>
  </si>
  <si>
    <t>পরিচালক, ক্রয় পরিদপ্তর, বিউবো, ঢাকা।</t>
  </si>
  <si>
    <t>নির্বাহী প্রকৌশলী, পূর্ত নির্মাণ বিভাগ-১, বিউবো, ঢাকা।</t>
  </si>
  <si>
    <t>নির্বাহী প্রকৌশলী, পূর্ত নির্মাণ বিভাগ-২, বিউবো, ঢাকা।</t>
  </si>
  <si>
    <t>পরিচালক, বৈদ্যুতিক সরঞ্জাম পরিদপ্তর বিউবো, ঢাকা।</t>
  </si>
  <si>
    <t>প্রধান প্রকৌশলী, প্রাইভেট জেনারেশন, বিউবো, ঢাকা।</t>
  </si>
  <si>
    <t>প্রধান প্রকৌশলী,   ঘোড়াশাল বিদ্যুৎ কেন্দ্র,  বিউবো, পলাশ, নরসিংদী</t>
  </si>
  <si>
    <t xml:space="preserve">১০০ মেঃ ওঃ হরিপুর বিদ্যুৎ কেন্দ্র, বিউবো, নারায়নগঞ্জ।  </t>
  </si>
  <si>
    <t>নির্বাহী প্রকৌশলী, পিসিপোল বিভাগ,আরিচা, বিউবো, মানিকগঞ্জ</t>
  </si>
  <si>
    <t>কেন্দ্রীয় মেরামত কারখানা, বিউবো, টংগী, গাজীপুর (সিইআরএস)</t>
  </si>
  <si>
    <t xml:space="preserve">আঞ্চলিক মেরামত কারখানা, বিউবো, টংগী,গাজীপুর। </t>
  </si>
  <si>
    <t>উপ-পরিচালক, আঞ্চলিক, প্রশিক্ষণ কেন্দ্র, বিউবো, টঙ্গী, গাজীপুর।</t>
  </si>
  <si>
    <t>কেন্দ্রীয়ভান্ডার, বিউবো, টঙ্গী, গাজীপুর</t>
  </si>
  <si>
    <t>প্রধান প্রকৌশলী, উৎপাদন,  বিউবো, ঢাকা</t>
  </si>
  <si>
    <t>আইপিপি সেল-০২, বিউবো, ঢাকা</t>
  </si>
  <si>
    <t>আইপিপি সেল-০১, বিউবো, ঢাকা</t>
  </si>
  <si>
    <t>পরিচালক, কর্মচারী পরিদপ্তর, বিউবো, ঢাকা।</t>
  </si>
  <si>
    <t xml:space="preserve">মহাব্যবস্থাপক, বাণিজ্যিক পরিচালন, বিউবো, ঢাকা </t>
  </si>
  <si>
    <t>প্রকল্প পরিচালক (প্রধান প্রকৌশলী), জি টি পি- এস-ই-প্রকল্প, ২১০ মেঃওঃ ঘোড়াশাল তাপ বিদ্যুৎ কেন্দ্র স¤ক্স্রসারণ প্রকল্প, বিউবো, পলাশ, ঘোড়াশাল।</t>
  </si>
  <si>
    <t>আপ্যায়ন খাতে বরাদ্দের অতিরিক্ত ব্যয় ৫২,২০,৭৫৬ (বাহান্ন লক্ষ বিশ হাজার সাতশত ছাপ্পান্ন)-টাকা।</t>
  </si>
  <si>
    <t>১৯৯১-২০০২</t>
  </si>
  <si>
    <t>অগ্রিম পরিশোধ দীর্ঘদিন অসমন্বিত</t>
  </si>
  <si>
    <t>04 (1)</t>
  </si>
  <si>
    <t xml:space="preserve">wVKv`v‡ii cwi‡kvwaZ we‡j f¨vU I AvqKi Kg KZ©b Kivq miKv‡ii ivR¯^ ÿwZ|   </t>
  </si>
  <si>
    <t>04 (2)</t>
  </si>
  <si>
    <t>MvoxPvjK I †UKwbK¨vj Kg©Pvix e¨ZxZ bb-‡UKwbK¨vj Kg©Pvix‡`i AwbqwgZfv‡e AwaKvj fvZv cÖ`vb Kivq cÖwZôv‡bi Avw_©K ÿwZ 14,66,436/-  ( †PŠÏ jÿ †QlwÆ nvRvi PvikZ QwÎk) UvKv|</t>
  </si>
  <si>
    <t>wVKv`vi KZ©„K wewfb Pzw³i wecix‡Z exgv bv Kivq exgv wcÖwgqv‡gi Dci ভ্যাU eve` miKv‡ii ivR¯^ ÿwZ 63,00,000.00 UvKv|</t>
  </si>
  <si>
    <t>মন্ত্রীপরিদষদ বিভাগের আদেশ লঙ্ঘন করে কাজ নাই মজুরী নাই চুক্তি ভিত্তিতে জনবল নিয়োগ করায় সংস্থার অনিয়মিত ব্যয় ৭৬,৮০,৫৭০/- টাকা</t>
  </si>
  <si>
    <t>নির্ধারিত হারের চেয়ে কমহারে আয়কর কর্তন করায় সরকারের রাজস্ব ক্ষতি ২৭,৬১,৯০৭ টাকা</t>
  </si>
  <si>
    <t>মূল বেতনের অতিরিক্ত অধিকাল ভাতা প্রদান করায় বোর্ডের ৪৪৪৭২৪ (চার লক্ষ চুয়াল্লিশ হাজার সাতশত চব্বিশ টাকা) আর্থিক ক্ষতি।</t>
  </si>
  <si>
    <t>১৯৯০-১৯৯১</t>
  </si>
  <si>
    <t>মহার্ঘ ভাতার উপর বাড়ী ভাড়া প্রদান</t>
  </si>
  <si>
    <t>অচল থ্রি হুইলার সরবরাহের নামে বোর্ডের ৬৩,৩৬,০০০/-টাকা ক্ষতিসাধন যাহা আদায়যোগ্য।</t>
  </si>
  <si>
    <t>গাড়ী লুকিং গন্ডাস চুরি</t>
  </si>
  <si>
    <t>বিউবো এর যানবাহন প্রাধিকার বহির্ভুতভাবে এবং মহামান্য রাষ্ট্রপতি সচিবালয়ের আদেশ লংঘন করিয়া ১০টি গাড়ী মন্ত্রনালয়ে প্রদান ও উহার পরিচালন বাবদ=২৩,১৭,০২৭/-টাকা ব্যয়।</t>
  </si>
  <si>
    <t>বিউবো কাওরান বাজার অফিসার্স রেষ্ট হাউজে অবৈধভাবে বসবাসরত কর্মকর্তাগণের নিকট হইতে =৩,৭৯,৩০৮/-টাকা ভাড়া আদায়সহ বিভাগীয় ব্যবস্থা নেওয়া হয় নাই।</t>
  </si>
  <si>
    <t>ভ্যাট কর্তন না করায় ক্ষতি।</t>
  </si>
  <si>
    <t>সর্বনিম্ন দরদাতার গাড়ী ক্রয় না করায়</t>
  </si>
  <si>
    <t>প্রকৃত তথ্য গোপন করে পিকআপ ক্রয়</t>
  </si>
  <si>
    <t>কর্মকর্তাকে গাড়ী ব্যবহারের সুযোগ প্রদান পিপি আর 2003 অনুযায়ী কমিটি গঠন করায়</t>
  </si>
  <si>
    <t>চুক্তির মেয়াদ শেষ হওয়া সত্ত্বেও বর্ধিত ভাড়ায় বন্দবস্ত না করায় ক্ষতি।</t>
  </si>
  <si>
    <t>গাড়ীর জ্বালানী বাবদ আর্থিক ক্ষতি</t>
  </si>
  <si>
    <t>বোর্ডের কর্মকর্তা না হওয়া এবং সার্বক্ষনিক গাড়ী প্রাপ্য না হওয়া সত্বেও সার্বক্ষনিক বোর্ডের গাড়ী ব্যবহার করে গাড়ীর জ্বালানী বাবদ বোর্ডের=৩,২৪,৩১২/-টাকা ক্ষতি।</t>
  </si>
  <si>
    <t>প্রাপ্য সিলিং এর অতিরিক্ত জ্বালানী ব্যবাহার করায় বোর্ডের ক্ষতি।</t>
  </si>
  <si>
    <t>বিউবো’র নিজস্ব ওয়ার্কসপ থাকা সত্ত্বেও বেসরকারী ওয়ার্কসপে গাড়ী মেরামত</t>
  </si>
  <si>
    <t>কোটেশন আহবান ব্যতিত যানবাহনে পোলের গাড়ী সার্ভিসিং বাবদ</t>
  </si>
  <si>
    <t>বাংলাদেশ বিদ্যুৎ উন্নয়ন বোর্ডের গাড়ী ব্যবহার করায় গাড়ীর জ্বালানী বাবদ বোর্ডের =৪,৮৮,৮৪৩/-টাকা আর্থিক ক্ষতি।</t>
  </si>
  <si>
    <t>অনুমোদন ক্ষমতা আয়ত্বে রেখে মেরামতি প্রাক্কলন অনুমোদন পূর্বক ব্যয় সীমার অতিরিক্ত =৩,৩১,২০৭/-টাকা গাড়ী মেরামত বাবদ অনিয়মিতভাবে ব্যয় নির্বাহ।</t>
  </si>
  <si>
    <t>‡givgZKvh© m¤úv`bKvjxb Ae¯’vq cybivq GKB mg‡qi g‡a¨ †givgZ †`wL‡q 1,18,333.00 UvKv cwi‡kvaRwbZ ÿwZ|</t>
  </si>
  <si>
    <t>weD‡evi cÖvwaKvi ewnf‚©Zfv‡e Kg©KZv©Mb‡K eiv× cÖ`vb Ges R¡vjvbx eve` 1013647 Ges †gvgZ eve` 2355399 UvKv †gvU 3569046 UvKv e¨q| Avw_©K ÿwZ|</t>
  </si>
  <si>
    <t>বিদ্যুৎ উন্নয়ন বোর্ডের জমি ও ভবন ভাড়া বাবদ বিভিন্ন সংস্থা হতে পাওনা যা আদায় করা হয়নি।</t>
  </si>
  <si>
    <t>গণপ্রজাতন্ত্রী বাংলাদেশ সরকার এর সাংবিধানিক আইন লংঘন করে যানবাহন ক্রয় খাতে ব্যয়ের নথিপত্র ও বিল/ভাউচার নিরীক্ষাদল সমীপে পেশ করা হয়নি।</t>
  </si>
  <si>
    <t>ভ্রমন আদেশ, ভ্রমন প্রতিবেদন, প্রশিক্ষন সনদ এবং ছাড়পত্র ছাড়াই ভ্রমন বিল উত্তোলন। জড়িত ৬,০৩,২৬৮ টাকা।</t>
  </si>
  <si>
    <t>বাংলাদেশ বিদ্যুৎ উন্নয়ন বোর্ডের, ১নং আব্দুল গনি রোডস্থ,বিদ্যুৎ ভবন এর নীচতলায় ২৭০০ বর্গফুট স্পেস ইজারালবদ্ধ অর্থ হতে উৎসে মূসক কর্তন না করায় সরকারের ক্ষতি ৪,৮৫,৩২০.০০ টাকা।</t>
  </si>
  <si>
    <t>ঠিকাদার ও সরবরাহকারীর নিকট হতে উৎসে মূসক কর্তন না করায় সরকারের রাজস্ব ক্ষতি ১,৮২,৯৫২.০০ টাকা।</t>
  </si>
  <si>
    <t>বদলীকৃত উপ-সহকারী প্রকৌশলী জনাব মোঃ মোস্তফা কামালকে প্রেষনভাতা প্রদান করায় বোর্ডের ক্ষতি ১,৩৫,৯৬৮.০০ টাকা।</t>
  </si>
  <si>
    <t>১৭৭টি অকেজো যানবাহন নিলামে বিক্রির ব্যবস্থা গ্রহন না করায় সরকারের রাজস্ব ক্ষতি ৭৮,৪৭,৫৬৩.০০ টাকা।</t>
  </si>
  <si>
    <t>অর্থ বিভাগের আদেশ লঙ্গন করে যানবাহন মেরামত বাবদ ১,০৫,৫৮,৬৭২.০০ টাকা অতিরিক্ত ব্যায়।</t>
  </si>
  <si>
    <t>প্রাপ্যতার অতিরিক্ত সিএনজি জ্বালানী ব্যয়ে বিউবো’র ১০,১৪,২৬০.০০ টাকা আর্থিক ক্ষতি।</t>
  </si>
  <si>
    <t>চুক্তি অনুযায়ী ঠিকাদার নির্ধারিত সময়ে IP-PABX চালু না করা সত্বেও পিপিআর ২০০৮ এর বিধি ৩৯(২৭) এবং জিসিসি ৩৩.১ অনুযায়ী বিলম্বজনিত ক্ষতিপূরন আদায় না করায় সরকারের রাজস্ব ক্ষতি ৫,৭৫,০৪৬.০০ টাকা।</t>
  </si>
  <si>
    <t>বাংলাদেশ বিদ্যুৎ উন্নয়ন বোর্ডের খুলনাস্থ বিদ্যুৎ কেন্দ্রের নিউ কলোনী এরিয়ায় অবস্থিত নর্থ-ওয়েস্ট পাওয়ার জেনারেশন কোঃ লিঃ এর অনুকুলে বরাদ্ধকৃত ১.৬৩ একর জায়গায় ভাড়া আদায় না করায় সংস্থার রাজস্ব ক্ষতি ৩০,২৮,৮৮২.৬৩ টাকা এবং উক্ত জায়গায় বিদ্যমান ৮টি জরাজীর্ন বহুতল ভবন নিলামে বিক্রয় করে বিক্রয়লব্ধ অর্থ সংস্থার তহবিলে জমা করা হয় নি।</t>
  </si>
  <si>
    <t>পিপিআর-২০০৮ এর বিধি উপক্ষো করে অত্যন্ত জরুরী ও বিশেষায়িত কাজ না হওয়া সত্তেও ওটিএম যোগ্য কাজকে এলটিএমের মাধ্যমে অনিয়মিতভাবে দরপত্র আহবান ও কার্যসম্পাদন পূর্বক ব্যয়।</t>
  </si>
  <si>
    <t>সংস্থার চাহিদাপত্র ও প্রত্যায়নপত্র ব্যতীত কাজ সম্পাদন দেখিয়ে ঠিকাদারকে বিল পরিশোধ করায় আর্থিক ক্ষতি।</t>
  </si>
  <si>
    <t>অর্থ মন্ত্রনালয়ের নির্দেশনা উপেক্ষা করে গাড়ী মেরামত বিল পরিশোধে সরকারের আর্থিক ক্ষতি।</t>
  </si>
  <si>
    <t>A_© gš¿Yvj‡qi Av‡`k jsNb K‡i hvbevnb †givg‡Z evwl©K e¨q mxgvi AwZwi³ e¨‡qi gva¨‡g †ev‡W©i Avw_©K ÿwZ|</t>
  </si>
  <si>
    <t>Riæix I we‡klvwqZ KvR bv nIqv m‡Ë¡I XvjvIfv‡e mxwgZ `icÎ c×wZ‡Z Kvh©m¤úv`b|</t>
  </si>
  <si>
    <t>‡mU Avc ewnf©~Z Kg©KZ©v/Kg©Pvix‡`i †eZb fvZvw` cwi‡kv‡a †ev‡W©i Avw_©K ÿwZ|</t>
  </si>
  <si>
    <t>evsjv‡`k we`y¨r Dbœqb †ev‡W©i Rwg Dc‡K›`ª wbg©v‡Yi Rb¨ wcwRwmwe †K fvovq eivÏ cÖ`vb Kiv n‡jI fvov Av`vq bv Kivq †ev‡W©i Avw_©K ÿwZ|</t>
  </si>
  <si>
    <t>প্রাধিকার বর্হিভূত কর্মকর্তাদের অনিয়মিতভাবে গাড়ী সরবরাহ পূর্বক মেরামত খরচ, জ্বালানী খরচ ও    ড্রাইভারের বেতন পরিশোধ করায় বিউবোর ৪৭,১০,৭০৩ (সাতচল্লিশ লক্ষ দশ হাজার সাতশত তিন) টাকা আর্থিক ক্ষতি।</t>
  </si>
  <si>
    <t>৪৭,১০,৭০৩</t>
  </si>
  <si>
    <t>ভৌত সেবাকে কাজ দেখিয়ে সঠিক এসটিডি ব্যতিত দরপত্র প্রণয়নপুর্বক চুক্তি সম্পাদন করায় অনিয়মিত ব্যয় ১৬,১৪,১৮৭ (ষোল লক্ষ চৌদ্দ হাজার একশত সাতাশি) টাকা।</t>
  </si>
  <si>
    <t>মুল বেতনের অতিরিক্ত অধিকাল ভাতা প্রদান করায় বোর্ডের ৭১,২৩,৬০১ টাকা আর্থিক ক্ষতি</t>
  </si>
  <si>
    <t>বিউবোর যানবাহন পুলের গাড়ী মন্ত্রনালয়ের নামে বরাদ্দ দেখিয়ে মেরামত ও জ্বালানী বাবদ অনিয়মিত ব্যয় ২৭,৪৫,১৭৫ টাকা</t>
  </si>
  <si>
    <r>
      <t>বাংলাদেশ বিদ্যুৎ উন্নয়ন বোর্ডের আবাসিক ফ্লাটে বোর্ড বহির্ভুত অন্য কোম্পানির কর্মচারিরা বসবাস</t>
    </r>
    <r>
      <rPr>
        <sz val="11"/>
        <rFont val="SutonnyMJ"/>
      </rPr>
      <t xml:space="preserve"> </t>
    </r>
    <r>
      <rPr>
        <sz val="11"/>
        <rFont val="Nikosh"/>
      </rPr>
      <t>করলেও ভাড়া প্রদাননা করায় বিউবোর আর্থিক্ষতি ২,৮৭,৯৪,০০০ টাকা</t>
    </r>
  </si>
  <si>
    <t>অব্যবহার যোগ্য যানবাহন ও মালামাল দীর্ঘদিন স্টোরে পরে থাকার পর ও কনডেমনেশন না করায় বিউবোর ১,২৫,১৩,৭০৩ টাকা আর্থিক ক্ষতি</t>
  </si>
  <si>
    <t>বিধি বহির্ভুতভাবে ছুটি নগদায়ন বিল পরিশোধ করায় সংস্থার আর্থিক ক্ষতি ৫,৩১,৮৬৫ টাকা</t>
  </si>
  <si>
    <t>উর্ধ্তন কর্তৃপক্ষের বাধ্যবাধকতা এড়ানোর উদ্দেশ্যে একই ধরণের কাজকে খন্ড খন্ড করে চুক্তি সম্পাদনে ২৩,৮৩,৬৪৫/- টাকা অনিয়মিত ব্যয়।</t>
  </si>
  <si>
    <t>কাজ নাই মজুরী নাই চুক্তি ভিত্তিতে জনবল নিয়োগ করায় সংস্থার অনিয়মিত ব্যয় ৭৬,৮০,৫৭০/- টাকা</t>
  </si>
  <si>
    <t xml:space="preserve"> MoU এর অজুহাতে পিডিবির জমি ডিপিডিসিকে ভোগ দখলে বাধা প্রদান না করায় পিডিবির ৪৪৪.৫০২৫ (চারশত চুয়াল্লিশ দশমিক পাচ শূণ্য দুই পাঁচ) কোটি টাকা আর্থিক ক্ষতি ।</t>
  </si>
  <si>
    <t xml:space="preserve">  বিদ্যুৎ কেন্দ্র নির্মাণের উদ্দেশ্যে অধিগ্রহণকৃত জমি অন্য প্রতিষ্ঠানকে বরাদ্দ প্রদান করে ভূমি কর পরিশোধের ফলে পিডিবির আর্থিক ক্ষতি ৭৩৭২০৫ (সাতলক্ষ সাইত্রিশ হাজার দুইশত পাঁচ) টাকা।</t>
  </si>
  <si>
    <t xml:space="preserve"> বিউবো এর কেন্দ্রীয় পুলের যানবাহন নিজস্ব কাজে ব্যবহার না করা সত্ত্বেও রক্ষণাবেক্ষণ ব্যয় পরিশোধ করায় বোর্ডের আর্থিক ক্ষতি ৩১,২৭,৭৭০/- টাকা।</t>
  </si>
  <si>
    <t xml:space="preserve"> ঊর্ধ্বতন কর্তৃপক্ষের অনুমোদন বাধ্যবাধকতা এড়ানো লক্ষ্যে একই কাজকে একাধিক প্যাকেজের মাধ্যমে ১ জন ঠিকাদারের সাথে চুক্তি সম্পাদন ও ১০৯৫৬২৯৯ টাকার বিল পরিশোধ।</t>
  </si>
  <si>
    <t xml:space="preserve">পিপিআর  ২০০৮ এর বিধি  উপেক্ষা মজুরীর বিনিময়ে সরাসরি শ্রমিক নিয়োগের ক্ষেত্রে বাৎসরিক সিলিং সীমার অতিরিক্ত ব্যয় ৮৪৭৭৯১৫ (চুরাশি লক্ষ সাতাত্তর হাজার নয়শত পনেরো)  টাকা। </t>
  </si>
  <si>
    <t>3.2.6</t>
  </si>
  <si>
    <t>‡Uûv‡ii kZ© jsNb K‡i Pzw³ g–‡j¨i Dci exgv bv Kivq mvaviY exgv I miKv‡ii 68,14,605.00 UvKv ivR¯^ ¶wZ n‡q‡Q|</t>
  </si>
  <si>
    <t>অধিকাল ভাতা অতিরিক্ত পরিশোধ করায় টাঃ ৩,১৪,৮৮৮.০০ টাকা আর্থিক ক্ষতি।</t>
  </si>
  <si>
    <t>wRGdAvi Gi c¨viv 10 D‡cÿv K‡i wWwcGg c×wZ‡Z 85.65% D×©`‡i 90,71,406.00 UvKv AwbqwgZ e¨‡q †ev‡W©i Avw_©K ÿwZ|</t>
  </si>
  <si>
    <t xml:space="preserve">¯’vbxq I AvšÍRv©wZK evRvi `‡ii mv‡_ m½wZ bv †i‡L †iBU wmwWDj ewnf©~Zfv‡e I mxgvnxb D”P`‡i cÖv°jY AwbqwgZfv‡e cÖ¯‘Zc~e©K Aby‡gv`b I A_© cwi‡kva| </t>
  </si>
  <si>
    <t>11(1)</t>
  </si>
  <si>
    <t>চুক্তির শর্ত লংঘন করে ইন্স্যুরেন্স না করায় প্রিমিয়াম+ভ্যাট বাবদ মোট ক্ষতি</t>
  </si>
  <si>
    <t>42(1)</t>
  </si>
  <si>
    <t>বাজার দর যাচাই ব্যতীত প্রাক্কলন ও প্রাক্কলিত ব্যয অপেক্ষা বেশি দরে চুক্তি সম্পাদন করায় অনিয়মিত ব্যয়</t>
  </si>
  <si>
    <t>চাহিদাপত্রের অতিরিক্ত ফটোকপিয়ার ক্রয় করায় প্রতিষ্ঠানের টাকা অপচয়।</t>
  </si>
  <si>
    <t>wcwcAvi/2008 wewa D‡cÿv K‡i `vßwiK cÖv°wjZ g~‡j¨i D×©`‡i GKgvÎ `i`vZv‡K w`‡q AwbqwgZfv‡e Kvh©m¤úv`‡bi d‡j cÖwZôv‡bi 2,89,94,108/- (`yB †KvwU EbbeŸB jÿ PzivbeŸB nvRvi GKkZ AvU) UvKvi Avw_©K ÿwZ|</t>
  </si>
  <si>
    <r>
      <rPr>
        <sz val="11"/>
        <rFont val="Calibri"/>
        <family val="2"/>
      </rPr>
      <t xml:space="preserve">Tender Validity Period </t>
    </r>
    <r>
      <rPr>
        <sz val="11"/>
        <rFont val="SutonnyMJ"/>
      </rPr>
      <t>AwZµvšÍ nIqvi ci mieivnKvixi mv‡_ AwbqwgZfv‡e 60,89,99,886 (lvU †KvwU EbbeŸB jÿ wbivbeŸB nvRvi AvUkZ wQqvwk) UvKvi A‰ea Pzw³m¤úv`b|</t>
    </r>
  </si>
  <si>
    <t>wWwcwc Gi wb‡`©kbv D‡cÿv K‡i †emiKvwi mieivnKvixi wbKU n‡Z wcwm †cvj µq Kivq cÖwZôv‡bi Avw_©K ÿwZ 1,67,64,000.00  UvKv|</t>
  </si>
  <si>
    <t>A_© gš¿Yvj‡qi wb‡`©kbv D‡cÿv K‡i Avw_©K mxgvwZwi³ g~‡j¨ hvbevnb µq Kivq †Kv¤úvwbi Avw_©K ÿwZ 66,00,000/-  ( †QlwÆ jÿ UvKv)  UvKv|</t>
  </si>
  <si>
    <t>Pzw³i kZ© D‡cÿv K‡I ˆe‡`wkK gvjvgv‡ji cwie‡Z© †`kxq gvjvgvj mieivn K‡i gvjvgv‡ji g~j¨ eve` AwbqwgZfv‡e 43,68,614/-  ( †ZZvwjøk jÿ AvUlwÆ nvRvi QqkZ †PŠÏ UvKv) UvKvi wej cwi‡kva|</t>
  </si>
  <si>
    <r>
      <t xml:space="preserve">wcwcAvi 2008 D‡cÿv K‡i Pzw³ ¯^vÿ‡ii c‡i c‡b¨i </t>
    </r>
    <r>
      <rPr>
        <sz val="11"/>
        <rFont val="Calibri"/>
        <family val="2"/>
      </rPr>
      <t xml:space="preserve">Country of Origin </t>
    </r>
    <r>
      <rPr>
        <sz val="11"/>
        <rFont val="SutonnyMJ"/>
      </rPr>
      <t>cwieZ©‡bi gva¨‡g 38,65,456/- (AvUwÎk jÿ cqlwÆ nvRvi PvikZ Qvàvbœ) UvKv AwbqwgZ e¨q|</t>
    </r>
  </si>
  <si>
    <t>wVKv`v‡ii wej n‡Z KZ©b‡hvM¨ f¨vU weD‡ev KZ©„K cwi‡kva Kivq weD‡evi 10,93,014/- (`k jÿ wZivbeŸB nvRvi †PŠÏ) UvKv Avw_©K ÿwZ|</t>
  </si>
  <si>
    <t>evRvi `i hvPvB e¨ZxZ AvbygvwbK nv‡I AviwWwcwc Ges Gwcwc cÖbqY K‡i `vßwiK cÖv°wjZ g~‡j¨i †P‡q A¯^vfvweK (m‡e©v”P 77%) wb¤œ`‡i AwbqwgZfv‡e 2,01,22,524.00 UvKvi Kvh©m¤úv`b|</t>
  </si>
  <si>
    <t>AwbqwgZfv‡e g~j †eZ‡bi AwZwi³ AwaKvj fvZv cÖ`vb Kivq cÖwZôv‡bi Avw_©K ÿwZ 3,01,146.00 UvKv|</t>
  </si>
  <si>
    <t>দরপত্রের বৈধতার মেয়াদ অতিক্রান্ত হওয়ার পর সরবরাহকারীর সাথে অবৈধভাবে চুক্তি সম্পাদন ২১২,৫৮,০৭,৪৬৫ টাকা</t>
  </si>
  <si>
    <t>প্রতিযোগী না হওয়া সত্তেও দরপত্র বাতিল না করে দাপ্তরিক প্রাক্কলিত মুল্যর উর্ধদরে ঠিকাদার/সরবরাহ কারীর সাথে চুক্তিসম্পাদন করায় আর্থিক ক্ষতি ১,৩৪,৯২,১৭৭ টাকা</t>
  </si>
  <si>
    <t>অনিয়মিত ভাবে প্রাক্কলন প্রস্তুতের মাধ্যমে চুক্তিপত্র সম্পাদন ৬৯,১১,৪৮,৭৭৫ টাকা</t>
  </si>
  <si>
    <t>নির্ধারিত সময়ে কার্য সম্পাদন জামানত প্রদানে ও চুক্তি সম্পাদনে ব্যর্থ সরবরাহ কারীর দর বাতিল না করে অনিয়মিতভাবে  ৫৮,৭৩,০৮,৯৬২ টাকার চুক্তিপত্র সম্পাদন</t>
  </si>
  <si>
    <t>মুল বেতনের অতিরিক্ত অধিকাল ভাতা প্রদান করায় বোর্ডের ৭১,২৩,৬০১ টাকাআর্থিক ক্ষতি</t>
  </si>
  <si>
    <t>১ম সর্বনিম্ন দরদাতাকে নির্বাচন না করে বরং প্রাক্কলনের ১০% উর্ধে ২য় দর দাতাকে অনিয়মিত ভাবে কার্যাদেশ প্রদানে প্রতিষ্ঠানের আর্থিক ক্ষতি ৭৪,৪৭,৬২০ টাকা</t>
  </si>
  <si>
    <t>উর্ধ্বদরের কারণে টিইসি কমিটি সুপারিশের ভিত্তিতে বাতিলকৃত দরদাতার সাথে পুনরায় দরপত্র আহবানের মাধ্যমে ডিপিএম পদ্ধতিতে পূর্বের দরেই চুক্তি সম্পাদনের ফলে পিডিবির আর্থিক ক্ষতি ৩৯,৭২,৬৪,৭৩১ (ঊনচল্লিশ কোটি বাহাত্তর লক্ষ চৌষট্টি হাজার সাতশত একত্রিশ) টাকা।</t>
  </si>
  <si>
    <t>কোস্টাল এরিয়ায় সিমেন্টের পোলের (পিসি পোলের) পরিবর্তে অধিক মূল্যের অনুপযুক্ত স্টীলের পোল ব্যবহার করায় পিডিবির আর্থিক ক্ষতি ১৭,২০,৯৬,৮০০(সতেরো কোটি বিশ লক্ষ ছিয়ানব্বই হাজার আটশত) টাকা।</t>
  </si>
  <si>
    <t>নিজস্ব দক্ষ জনবল থাকা স্বত্বেও ঠিকাদারের মাধ্যমে অধিক বেশি বেতনে জনবল নিয়োগ করে ৪,৩৭,৩৪,০০০ (চার কোটি সাইত্রিশ লক্ষ চৌত্রিশ হাজার) টাকা অনিয়মিত ব্যয়।</t>
  </si>
  <si>
    <t>মন্ত্রণালয়ের নির্দেশনা উপেক্ষা করে সরকরি প্রতিষ্ঠান থেকে ট্রান্সফরমার ক্রয় না করে বাহিরের কোম্পানি থেকে অনিয়মিতভাবে ২২,৪৪,০০,০০০ (বাইশ কোটি চুয়াল্লিশ লক্ষ) টাকার ক্রয় কার্যসম্পাদন ।</t>
  </si>
  <si>
    <t>দেশীয় উৎপাদিত পণ্য ডিপিপিতে বৈদেশিক ক্রয় হিসেবে অন্তর্ভূক্ত করে দেশীয় কোম্পানীর সাথে বৈদেশিক মূদ্রায় চুক্তি করায় আর্থিক ক্ষতি ১,৫৯,০১,৮৩৬ (এক কোটি উনপঞ্চাশ লক্ষ এক হাজার আটশত ছত্রিশ) টাকা।</t>
  </si>
  <si>
    <t xml:space="preserve"> দরপত্র মূল্যায়ন না করে বাতিল করায় পিডিবির আর্থিক ক্ষতি ২৭৬,৬৭,২৭,৯৭৪ (দুইশত ছিয়াত্তোর কোটি সাতষট্টি লক্ষ সাতাশ হাজার নয়শত চুয়াত্তর) টাকা।</t>
  </si>
  <si>
    <t>২৭৬,৬৭,২৭,৯৭৪</t>
  </si>
  <si>
    <t xml:space="preserve"> চূড়ান্ত বিল পরিশোধে দীর্ঘ কালক্ষেপন করে দেরিতে বিল পরিশোধ করার ফলে পিডিবির আর্থিক ক্ষতি ১,৪৩,৯৫,৩৭৪ (এক কোটি তেতাল্লিশ লক্ষ পঁচানব্বই হাজার তিনশত চুয়াত্তর) টাকা।</t>
  </si>
  <si>
    <t xml:space="preserve"> ১,৪৩,৯৫,৩৭৪</t>
  </si>
  <si>
    <t xml:space="preserve"> দেশে উৎপাদিত পণ্য সরবরাহের ক্ষেত্রে আন্তর্জাতিক উম্মুক্ত দরপত্র পদ্ধতিতে সরবরাহকারী নির্বাচন ও চুক্তি মেয়াদে মার্কিন ডলার (USD) বিনিময় হারের ওঠানামা সংক্রান্ত সুবিধা প্রদানের কারণে প্রদেয় বিলের বিপরীতে বোর্ডের ৩৭৭৬০২৯ (সাঁইত্রিশ লক্ষ ছিয়াত্তর হাজার ঊনত্রিশ) টাকা আর্থিক ক্ষতি।</t>
  </si>
  <si>
    <t>৩৭,৭৬,০২৯</t>
  </si>
  <si>
    <t xml:space="preserve"> ক্লারিফিকেশনের নামে ১ম সর্বনিম্ন দরদাতাকে কার্যাদেশ প্রদান না করে ৩য় সর্বনিম্ন দরদাতার সাথে চুক্তি সম্পাদন ও বিল পরিশোধ করায় বোর্ডের ৪৪৭৫৭০০ (চুয়াল্লিশ হাজার পঁচাত্তর হাজার সাতশত) আর্থিক ক্ষতি।</t>
  </si>
  <si>
    <t xml:space="preserve">৪৪,৭৫,৭০০ </t>
  </si>
  <si>
    <t xml:space="preserve"> পারস্পরিক সমজোতার মাধ্যমে বাংলাদেশ ব্যাংকের Exchange rate এর চেয়ে অধিক রেটে বৈদেশিক মুদ্রা বিপরীতে দেশীয় মুদ্রায় বিল পরিশোধ করায় বোর্ডের আর্থিক ক্ষতি ৩৭২০১৮৫  টাকা।</t>
  </si>
  <si>
    <t>৩৭,২০,১৮৫</t>
  </si>
  <si>
    <r>
      <t xml:space="preserve"> </t>
    </r>
    <r>
      <rPr>
        <sz val="11"/>
        <color theme="1"/>
        <rFont val="Nikosh"/>
      </rPr>
      <t>ঠিকাদার বিল পরিশোধের ক্ষেত্রে ভ্যাট কম কর্তনের কারনে সরকারের রাজস্ব ক্ষতি ১,৪৩,৩২,৫৭২ (এক কোটি তেতাল্লিশ লক্ষ বত্রিশ হাজার পাঁচশত বাহাত্তর) টাকা ।</t>
    </r>
  </si>
  <si>
    <t>১,৪৩,৩২,৫৭২</t>
  </si>
  <si>
    <t xml:space="preserve"> রক্ষণাবেক্ষণ সার্ভিসের নামে অস্বাভাবিক বেশি বেতনে চুক্তি সম্পাদনের মাধ্যমে বিল পরিশোধের ফলে পিডিবির ৪৪৫৭৮৭৫২ (চার কোটি পঁয়তাল্লিশ লক্ষ আটাত্তর হাজার সাতশত বায়ান্ন) টাকা আর্থিক ক্ষতি।</t>
  </si>
  <si>
    <t>৪,৪৫,৭৮,৭৫২</t>
  </si>
  <si>
    <t xml:space="preserve"> দরপত্রের শর্তানুযায়ী যথাযথ ডকুমেন্ট দাখিল না করার পরেও অযোগ্য ঠিকাদারকে যোগ্য করে অনিয়মিতভাবে ৬৬৭২৬০০০/- টাকার কার্যসম্পাদন।</t>
  </si>
  <si>
    <t>৬,৬৭,২৬,০০০</t>
  </si>
  <si>
    <t xml:space="preserve"> দরপত্রের শর্তানুযায়ী দরপত্রে অংশগ্রহণকারী সকল দরদাতা নন-রেসপন্সিভ/অযোগ্য হওয়া সত্ত্বেও দরপত্র বাতিল বা পুনঃদরপত্র আহবান না করে ২য়/৩য় সর্বনিম্ন অযোগ্য দরদাতার সাথে চুক্তি সম্পাদন ও বিল পরিশোধ করায় বোর্ডের ৪৬৮৮৬৯৪ (ছিচল্লিশ লক্ষ আটাশি হাজার ছয়শত চুরানব্বই) টাকা আর্থিক ক্ষতি।</t>
  </si>
  <si>
    <t xml:space="preserve"> দাপ্তরিক প্রাক্কলিত মূল্যের সাথে সংযুক্ত আয়কর ও ভ্যাট এর হার অপেক্ষা ১০% কম হারে আয়কর কর্তন করে বিল পরিশোধে সরকারের ৪২৮৫৬২৬ (বেয়াল্লিশ লক্ষ পঁচাশি হাজার ছয়শত ছাব্বিশ) টাকা আর্থিক ক্ষতি।</t>
  </si>
  <si>
    <t>Kg©Pvix‡`i‡K AwZwi³ AwaKvj fvZv cÖ`vb K‡i evsjv‡`k we`y¨r Dbœqb †ev‡W©i Avw_©K ÿwZ mvab|</t>
  </si>
  <si>
    <t xml:space="preserve">wVK`v‡ii wej cwi‡kv‡ai †ÿ‡Î f¨vU Kg KZ©‡bi Kvi‡Y miKv‡ii ivR¯^ ÿwZ 610505 UvKv </t>
  </si>
  <si>
    <t>অনুমোদিত অর্গানোগ্রাম বহির্ভূত কর্মকর্তা নিয়োগ করায় অনিয়মিত ব্যয় ১১,৬৩,৬৬৪/- (এগারো লক্ষ তেষট্রি হাজার ছয়শত চোষট্রি) টাকা।</t>
  </si>
  <si>
    <t>মন্ত্রীপরিষদ বিভাগের নির্দেশনা উপেক্ষা করে কাজ নাই মজুরী নাই ভিত্তিতে জনবল নিয়োগ করায় ৭২,৮৯,০৯৪ (বাহাত্তর লক্ষ উননব্বই হাজার চুরানব্বই) টাকা অনিয়মিত ব্যয়।</t>
  </si>
  <si>
    <t>কাজ নাই মজুরী নাই চুক্তি ভিত্তিতে জনবল নিয়োগ করায় অনিয়মিত ব্যয় ১৫,০৫,১২২/-(পনেরো লক্ষ পাঁচ হাজার একশত বাইশ) টাকা।</t>
  </si>
  <si>
    <t>পূর্ত নির্মাণ বিভাগ-০১, বিউবো, ঢাকা</t>
  </si>
  <si>
    <r>
      <t xml:space="preserve"> </t>
    </r>
    <r>
      <rPr>
        <sz val="11"/>
        <color rgb="FF000000"/>
        <rFont val="Nikosh"/>
      </rPr>
      <t>আবাসিক ভবন মেরামত ও রক্ষণাবেক্ষণ কাজের চাহিদাপত্র ও কাজ সমাপ্তের প্রত্যয়নপত্র ব্যতীত ঠিকাদারকে বিল পরিশোধ করায় অনিয়মিত ব্যয় ৯৭,০৪,৪৯৩ টাকা।</t>
    </r>
  </si>
  <si>
    <t xml:space="preserve"> দাপ্তরিক প্রাক্কলিত মূল্য বাস্তব সম্মত হওয়ার পরও অস্বাভাবিক নিম্নদরে অনিয়মিতভাবে  ৩,৫৭,৮৫,০৩৩ (তিন কোটি সাতান্ন লক্ষ পঁচাশি হাজার তেত্রিশ) টাকার চুক্তি সম্পাদন ও বিল প্রদান ।</t>
  </si>
  <si>
    <t xml:space="preserve">A_© wefv‡Mi e¨q ms‡KvP‡bi wb‡`©kbv jÿY K‡র wba©vwiZ e¨q mxgvi AwZwi³ AwbqwgZ e¨q 13561477 UvKv </t>
  </si>
  <si>
    <t>অস্বাভাবিক নিম্নদরে কার্য সম্পাদন পিপিআর -২০০৮ উপেক্ষিত।</t>
  </si>
  <si>
    <t xml:space="preserve">wcwWwei ev‡RU n‡Z we`y¨Z wefv‡Mi Kvh©m¤úv`vb Kivq  33,15,863 UvKv AwbqwgZ e¨q </t>
  </si>
  <si>
    <t>33,15,863</t>
  </si>
  <si>
    <t>mvavib exgv K‡c©vi‡k‡b exgv bv Kivq 49,12,35,289/-UvKv AwbqwgZ e¨q|</t>
  </si>
  <si>
    <t>4912.35.289</t>
  </si>
  <si>
    <t>দাপ্তরিক প্রাক্কলিত মূল্য পুনঃপরীক্ষা এবং কম মূল্য উদ্ধৃত করার কারণ অনুসন্ধান না করে অস্বাভাবিক নিম্নদরে কার্যাদেশ প্রদান করায় অনিয়মিত ব্যয় ৮৬২৪০৯ (আট লক্ষ বাষট্টি হাজার চারশত নয়) টাকা।</t>
  </si>
  <si>
    <t>যথাযথ ডকুমেন্ট দাখিল না করা স্বত্বেও ঠিকাদারের প্রতি আনুকূল্য প্রর্দশন পূর্বক নন রেসপনসিভ ঠিকাদারকে রেসপনসিভ হিসেবে মূল্যায়ন করে অনিয়মিতভাবে ১,০৯,৫১,৫৭৭ (এক কোটি নয় লক্ষ একান্ন হাজার পাঁচশত সাতাত্তর) টাকার কার্যাদেশ প্রদান</t>
  </si>
  <si>
    <t xml:space="preserve"> পিডিবির বাজেট হতে অনান্য বিভাগের কার্যসম্পাদন দেখিয়ে বিল পরিশোধের মাধ্যমে ৩৭,৬৫,২৭৫ (সাইত্রিশ লক্ষ পঁয়ষট্টি হাজার দুইশত পঁচাত্তর) টাকা অনিয়মিত ব্যয়।</t>
  </si>
  <si>
    <t>৩৭,৬৫,২৭৫</t>
  </si>
  <si>
    <t xml:space="preserve"> দাপ্তরিক প্রাক্কলিত মূল্য প্রকাশ করে পারস্পরিক যোগসাজসের মাধ্যমে ঠিকাদার নির্বাচন পূর্বক অনিয়মিতভাবে ৫৪৭৩৩৪৭.৫২৫ টাকার কার্য সম্পাদন।</t>
  </si>
  <si>
    <t>২,১৯,১৯৮.০৬৭</t>
  </si>
  <si>
    <t xml:space="preserve"> পারস্পরিক যোগসাজশের মাধ্যমে নন-রেসপন্সিভ দরদাতাকে রেসপন্সিভ দেখিয়ে কার্যাদেশ প্রদান ও অনিয়মেতভাবে ১০৯৭২২৬৮ টাকার বিল পরিশোধে বোর্ডের ৮০৬৮১ (আশি হাজার ছয়শত একাশি) টাকা আর্থিক ক্ষতি।</t>
  </si>
  <si>
    <t>পরিচালক, বৈদ্যুতিক সরঞ্জাম পরিদপ্তর</t>
  </si>
  <si>
    <t>১৯৯৩-১৯৯৭</t>
  </si>
  <si>
    <t>রেষ্ট হাউজে বসবাসে অনিয়ম</t>
  </si>
  <si>
    <t>f¨vU Abv`vqx</t>
  </si>
  <si>
    <t>পরিচালক, আইপিপি সেল-১, বিউবো, ঢাকা।</t>
  </si>
  <si>
    <t>২০০৯-২০১২</t>
  </si>
  <si>
    <t>১.২.২</t>
  </si>
  <si>
    <t>রেন্টাল এবং কুইক রেন্টাল কোম্পানীর নিকট হতে অত্যাধিক চড়া দামে বিদ্যুৎ ক্রয় করায় বিউবোর বাৎসরিক ক্ষতির পরিমাণ বৃদ্ধি পাওয়ায় ভর্তুকি/ঋণের পরিমান ১২,০৪৪,৭২,০০,০০০.০০ টাকা।</t>
  </si>
  <si>
    <t>নির্ধারিত সময়েক মার্শিয়াল অপারেশনডেট (COD) করতে ব্যর্থ হওয়ায় চুক্তি বাতিলপুর্বক জামানতন গদায়ন না করায় ২৪৫,০৮,৮০,০০০ টাকা আর্থিক ক্ষতি</t>
  </si>
  <si>
    <t>চুক্তি বদ্ধ ফার্নেস অয়েল ভিত্তিক বেসরকারি বিদ্যুৎ উৎপাদন কেন্দ্র সমুহের উৎপাদন ক্ষমতা থাকা সত্তে ও নতুন করে ১৫ মেঃওঃবিদ্যুৎ চুক্তি সম্পাদনের মাধ্যমে ক্যাপাসিটি চার্জ বাবদ ২,৮৬,২৮,০১০ টাকা পরিশোধ করায় প্রতিষ্ঠানের আর্থিক ক্ষতি</t>
  </si>
  <si>
    <t>সম্পাদিত চুক্তি অনুযায়ী বাৎসরিক গ্রহন যোগ্য Outage অপেক্ষা অতিরিক্ত outage হওয়ায় Liquidated Damage (LD) কর্তননাকরায়বিউবোরক্ষতি ১৩,৯১,৬৯,৯৫৪ টাকা</t>
  </si>
  <si>
    <r>
      <t>we`¨gvb Pzw³K…Z dv‡b©m A‡qj (</t>
    </r>
    <r>
      <rPr>
        <sz val="11"/>
        <rFont val="Calibri"/>
        <family val="2"/>
      </rPr>
      <t>HFO = Heavy Fuel Oil</t>
    </r>
    <r>
      <rPr>
        <sz val="11"/>
        <rFont val="SutonnyMJ"/>
      </rPr>
      <t>) wfwËK †emiKvwi we`y¨r Drcv`b †K›`ª m g~‡ni c~Y© Drcv`b ÿgZv e¨envi bv K‡i bZzb 3wU cÖwZôv‡bi mv‡_ Pzw³ m¤úv`‡bi gva¨‡g K¨vcvwmwU PvR© eve` AwZwi³ 136,76,15,067/- (GKkZ QwÎk †KvwU wQqvËi jÿ c‡bi nvRvi mvZlwÆ) UvKv cwi‡kva Kivq cwZôv‡bi Avw_©K ÿwZ|</t>
    </r>
  </si>
  <si>
    <t>সম্পাদিত চুক্তি অনুযায়ী বাৎসরিক গ্রহণযোগ্য Outage অপেক্ষা অতিরিক্ত Outage হওয়ায় বিলম্ব জরিমানা কর্তন না করে বিল পরিশোধ করায় বিউবোর আর্থিক ক্ষতি ৬৪৬,৬৭,৭৬,৮৯৫ (ছয়শত ছেচল্লিশ কোটি সাতষট্টি লক্ষ ছিয়াত্তর হাজার আটশত পঁচানব্বই) টাকা।</t>
  </si>
  <si>
    <t>এইচএফও ভিত্তিক রেন্টাল বিদ্যুৎ কেন্দ্রের চুক্তির মেয়াদ শেষ হওয়ার পরও পুনরায় চুক্তির মেয়াদ বৃদ্ধি করায় অনিয়মিত ব্যয় ১৮৫৪,৬৯,৪২,৪৭১ (একহাজার আটশত চুয়ান্ন কোটি ঊনসত্তর লক্ষ বিয়াল্লিশ হাজার চারশত একাত্তর) টাকা।</t>
  </si>
  <si>
    <t>নির্ধারিত সময়ে বাণিজ্যিক উৎপাদনে আসার সক্ষমতা (COD) অর্জন করতে ব্যর্থ হওয়ায় বিলম্ব জরিমানা বাবদ ১৪,৭৭,৫২,০০০ (চৌদ্দ কোটি সাতাত্তর লক্ষ বায়ান্ন হাজার) টাকা অনাদায়ী।</t>
  </si>
  <si>
    <t>চাহিদার বিপরীতে উৎপাদন সক্ষমতা থাকা সত্ত্বেও নতুন করে ৫০০০ মেগাওয়াট ক্ষমতা সম্পন্ন বিদ্যুৎ কেন্দ্র স্থাপনের অনুমতি প্রদান।</t>
  </si>
  <si>
    <t>আমদানিকৃত বিদ্যুতের মূল্য পরিশোধের ক্ষেত্রে সঠিক হারে রাজস্ব প্রদান না করায় সরকারের ২৮৫২,৩৯,১৮,৭৯৯ (দুই হাজার আটশত বায়ান্ন কোটি ঊনচল্লিশ লক্ষ আঠার হাজার সাতশত নিরানব্বই) টাকা আর্থিক ক্ষতি।</t>
  </si>
  <si>
    <t>দেশীয় বিদ্যুৎ কেন্দ্র সমূহের সর্বোচ্চ চাহিদা পূরণ করার সক্ষমতা থাকা সত্ত্বেও দেশের বাহির থেকে বিদ্যুৎ আমদানির চুক্তি সম্পাদন করে ক্যপাসিটি চার্জ পরিশোধ করায় ৭৭৭০,৩০,০৬,২৫৩ (সাত হাজার সাতশত সত্তর কোটি ত্রিশ লক্ষ ছয় হাজার দুইশত তেপান্ন) টাকা আর্থিক ক্ষতি।</t>
  </si>
  <si>
    <t>প্রধান প্রকৌশলী, প্রাইভেট জেনারেশন, বিউবো, ঢাকা</t>
  </si>
  <si>
    <r>
      <t xml:space="preserve"> </t>
    </r>
    <r>
      <rPr>
        <sz val="11"/>
        <color theme="1"/>
        <rFont val="Nikosh"/>
      </rPr>
      <t>চুক্তিবদ্ধ বিদ্যমান দুইটি বিদ্যুৎ কেন্দ্রের ডিপেন্ডেবল ক্যাপাসিটির আওতায় বিদ্যুৎ গ্রহণ না করে অপ্রয়োজনীয়ভাবে অতিরিক্ত দুইটি বিদ্যুৎ কেন্দ্রের সাথে নতুন চুক্তি সম্পাদনের ফলে উৎপাদন ব্যয় বৃদ্ধি পেয়ে পিডিবির ২২১৮,৭৮,২৫,৩০৮ (দুই হাজার দুইশত আঠারো কোটি আটাত্তর লক্ষ পঁচিশ হাজার তিনশত আট) টাকা আর্থিক ক্ষতি।</t>
    </r>
  </si>
  <si>
    <t xml:space="preserve"> ডলারের চলতি মূল্যে বিল গ্রহণ করলেও Price Adjustment এর নামে Inflation রেট একত্র করে ক্যাপাসিটি পেমেন্ট করায় বোর্ডের 23,58,55,142 (তেইশ কোটি আটান্ন লক্ষ পঁঞ্চান্ন হাজার একশত বেয়াল্লিশ) টাকা আর্থিক ক্ষতি।</t>
  </si>
  <si>
    <t xml:space="preserve">  আমদানিকৃত বিদ্যুতের মূল্য পরিশোধের ক্ষেত্রে সঠিক হারে রাজস্ব প্রদান না করায় সরকারের  ২৮৩৪,৭০,০৬,৬৫৬ (দুই হাজার আটশত চেীত্রিশ কোটি সত্তর লক্ষ ছয় হাজার ছয়শত ছাপান্ন) টাকা ক্ষতি। </t>
  </si>
  <si>
    <t xml:space="preserve"> দেশীয় বিদ্যুৎ কেন্দ্র সমূহের সর্বোচ্চ চাহিদা পূরণ করার সক্ষমতা থাকা সত্ত্বেও দেশের বাহির থেকে বিদ্যুৎ আমদানির চুক্তি সম্পাদন করে ক্যপাসিটি চার্জ পরিশোধ করায় বোর্ডের ৭৬১১,৭২,৭১,৯৯৮ (সাত হাজার ছয়শত এগারো কোটি বাহাত্তর লক্ষ একাত্তর হাজার নয়শত আটানব্বই) টাকা আর্থিক ক্ষতি।</t>
  </si>
  <si>
    <t xml:space="preserve">  চুক্তি অনুযায়ী রিবেট সুবিধা কালীন সময় বিল পরিশোধ না করার ফলে পিডিবির আর্থিক ক্ষতি ৩৯৬৭৫১১৭৪ (উনচল্লিশ কোটি সাতষট্টি লক্ষ একান্ন হাজার একশত চুয়াত্তর) টাকা।</t>
  </si>
  <si>
    <t xml:space="preserve"> নিজস্ব গ্যাসভিত্তিক পাওয়ার প্ল্যান্টের সক্ষমতা যথাযথভাবে ব্যবহার না করে অধিক ব্যয়বহুল বেসরকারি উৎস থেকে বিদ্যুৎ ক্রয়ে বোর্ডের আর্থিক ক্ষতি ৩২৩২,২৫,০৪,৭৭৭/- টাকা।</t>
  </si>
  <si>
    <t xml:space="preserve"> নির্ধারিত সময়ে COD অর্জনে ব্যর্থতা সত্ত্বেও বিলম্ব জরিমানা (LD) আদায় না করায় বোর্ডের আর্থিক ক্ষতি ২০,৬১,১২,০০০/- টাকা।</t>
  </si>
  <si>
    <t xml:space="preserve">  এনার্জি পেমেন্ট নির্ধারণের ক্ষেত্রে উৎপাদনে ব্যবহৃত কয়লা অপেক্ষা উন্নত মানের কয়লার ভিত্তিতে হিসেব করে বেশি মূল্য দাবি করায় এবং ডিপেন্ডবেল ক্যাপাসিটির তুলনায় অধিক ক্যাপাসিটি পেমেন্ট দাবি করায় পিডিবির সাথে আদানির দায়-দেনার পরিমান ১৩১৫,২৯,৯২,৫৭৭ (এক হাজার তিনশত পনেরো কোটি উনত্রিশ লক্ষ বিরানব্বই হাজার পাঁচশত সাতাত্তর) টাকা। </t>
  </si>
  <si>
    <t xml:space="preserve"> সমান ক্ষমতা সম্পন্ন বিদ্যুৎ কেন্দ্রের প্লান্ট ফেক্টর কম হওয়ার কারণে কম বিদ্যুৎ উৎপাদন ও বিদ্যুতের ইউনিট প্রাইজ বেশী হওয়ায় পিডিবির ৫১০,৬০,৬৩,১২৬ (পাঁচশত দশ কোটি ষাট লক্ষ তিষট্টি হাজার একশত ছাব্বিশ) টাকা আর্থিক ক্ষতি।</t>
  </si>
  <si>
    <t xml:space="preserve"> চুক্তি অনুযায়ী গ্রহণযোগ্য বাৎসরিক Outage সীমা অতিক্রমের পরও বিলম্ব জরিমানা কর্তন না করে বিল পরিশোধ করায় বোর্ডের আর্থিক ক্ষতি ৪৮৫,০৯,০৭,৩১০/- টাকা।</t>
  </si>
  <si>
    <t xml:space="preserve"> চুক্তি অনুযায়ী নির্ধারিত সময়ে বিল পরিশোধ না করায় বিলম্ব জরিমানা বাবদ বিপিডিবির আর্থিক ক্ষতি ২২৩০৭৩৩৪০ টাকা।</t>
  </si>
  <si>
    <t xml:space="preserve">প্রধান প্রকৌশলী, ৫৩০ মেঃ ওঃ  ঘোড়াশাল বিদ্যুৎ কেন্দ্র,  বিউবো, পলাশ, নরসিংদী। </t>
  </si>
  <si>
    <t>২০০১-২০০৮</t>
  </si>
  <si>
    <t>wewa ewnf©Z fv‡e m¤§vbx fvZv MÖnb|</t>
  </si>
  <si>
    <t>GKB mg‡q Mvox wb‡q XvKvq hvZvqvZ Kivi Rb¨ wW G I AwZwi³ LvUzwbi Rb¨ wØ¸b nv‡i AwaKKvj fvZv cÖ`vb Kivq †evW© Gi 17,76,146/= UvKv Avw_©K ÿwZ|</t>
  </si>
  <si>
    <t>msm`xq KwgwUi wmØvšÍ D‡cÿv K‡i g~j †eZ‡bi AwZwi³ AwaKvj fvZv cÖ`vb Kivq †evW© Gi 81,49,516/= UvKv Avw_©K ÿwZ|</t>
  </si>
  <si>
    <t>‡evW© KZ©…K wba©vwiZ ‡÷kb Aw·jvix KbRvgkb Gi cwigv‡Yi nvi A‡c¶v AwZwi³ nv‡i †÷kb KbRvgkb BDwbU ‡`Lv‡bvi d‡j ‡ev‡W©i Avw_©K ¶wZ 16,80,240/= UvKv |</t>
  </si>
  <si>
    <t>‡Nvovkvj we`¨yr †K‡›`ªi 6ô BDwbUwU 2010 mv‡j Av¸‡b cy‡o hvIqvq eÜ _vKv ¯^‡Z¡I KvixMwi Kg©Pvix‡`i‡K GKK I wØ¸b nv‡i AwaKKvj fvZv cÖ`vb Kivq †evW© Gi ‡gvU 31,16,688/= UvKv Avw_©K ÿwZ|</t>
  </si>
  <si>
    <t>mvgwqK AvMv‡gi gva¨‡g gvj µq-</t>
  </si>
  <si>
    <t>প্রধান প্রকৌশলী,২১০ মেঃওঃ সিদ্ধিরগঞ্জ বিদ্যুৎ কেন্দ্র,বিউবো,নারায়নগঞ্জ</t>
  </si>
  <si>
    <t>M¨vm wej cwi‡kv‡a Awbqg-</t>
  </si>
  <si>
    <t xml:space="preserve">wmw×iMÄ we`y¨r †K‡›`ªi wfZi A‰eafv‡e nvU evRvi cÖwZwôZ Ges fvov eve` Av`vqK…Z wecyj cwigvb UvKv †ev‡W©i Znwe‡j Rgv Kiv nq bvB| </t>
  </si>
  <si>
    <t>f¨vU Abv`vq-</t>
  </si>
  <si>
    <t>†Wmv KZ…©K ¯’vwcZ 132 †Kwf f‚Mf¯’ K¨ve‡ji gva¨‡g Aw·wjqvix cvIqvi mieivn e¨e¯’v AwbqwgZfv‡e wmwe‡K Gi gva¨‡g ¯’vbvš‡ii d‡j Avw_©K ¶wZ|</t>
  </si>
  <si>
    <t>wbix¶v‡hvM¨ `wjj `¯v‡eR wbix¶v mgx‡c Dc¯’vcb Kiv nq bvB|</t>
  </si>
  <si>
    <t>¶gZv ewnf‚©Zfv‡e Av‡`k Rvix K‡i miKv‡ii mshy³ Znwej nB‡Z m¤§vbx fvZv D‡Ëvjb|</t>
  </si>
  <si>
    <t>‡Kv‡Uk‡bi gva¨‡g hvbevnb †givgZ †`LvBqv 3,12,903 UvKv AwbqwgZ cwi‡kva</t>
  </si>
  <si>
    <t>miKvix evox‡Z emevm Kiv m‡Ë¡I 7.5% nv‡i evox fvov KZ©b Kiv nq bvB|</t>
  </si>
  <si>
    <t>miKvwi weavb Abyhvqx f¨vU KZ©b bv Kivq miKvi 1,28,557.00 UvKv ivR¯^ Avq n‡Z ewÂZ|</t>
  </si>
  <si>
    <t>২০০৫-২০০৮</t>
  </si>
  <si>
    <t>Av‡b©ó gvwb Rgv cÖ`v‡bi ci 3(wZb) Avw_K ermi AwZµvš@ nIqv m‡Ë¡I †ev‡W©i ivR¯^ Lv‡Z `vq wenxb _vKvq ev‡Rqvß K‡i †ev‡W©i ivR¯^ Lv‡Z Rgv cÖ`vb Kiv nqwb|</t>
  </si>
  <si>
    <t>wcwm †cvj wbg©v‡Y AwZwi³ gvjvgvj e¨envi †`LvBqv ms¯’vi 29,75,834.00 UvKv ÿwZ mvab|</t>
  </si>
  <si>
    <t>c~‡e©i `i I ‰ea `icÎ evwZj K‡i cybt `icÎ Avnevb K‡i D”P `v‡g wm‡g›U µq K‡i ms¯’vi mivmwi 11,70,000.00 UvKv ÿwZmvab|</t>
  </si>
  <si>
    <t xml:space="preserve">GKhy‡MiI  AwaK mgq a‡i µvkvi †gwkb APj I eÜ _vKv m‡Z¡‡I g~j¨evb 12 †mU K¨vmvi R¡¨ µq K‡i †÷v‡i †d‡j †i‡L 31,24,427.00 UvKv ms¯’vi AcPq mvab| </t>
  </si>
  <si>
    <t>`ic‡Îi †¯úwmwd‡Kkb ewn©f‚Z gv‡bi evwj 68.88% D×©`‡i mieivn Kiv‡Z weD‡ev4,86,610.00 UvKv Avw_©K ÿwZ| wcwcAvi/2003 Gi wewa jw½Z|</t>
  </si>
  <si>
    <t>wm‡jU m¨vÛ (evjy) NbwgUvªi G mieivn †bIqvi mgq 10% f‡qU ev` †`Iqv n‡j 19 wgt wgt wb¤œ †MÖW Gi cv_i KzwP NbwgUvi G mieivn †bIqvi mgq f‡qU ev` bv w`‡q †gRvi‡g›U MÖnY KiZ wej cwi‡kv‡a miKv‡ii Avw_©K ¶wZ|</t>
  </si>
  <si>
    <t>‡Kv‡UW †iBU 5% Gi AwaK nIqv m‡Ë¡I `icÎ evwZj bv K‡i Pzw³ m¤•v`b I Kvh©„v‡`k cÖ`vb evsjv‡`k RvZxq msm` KZ…©K RvixK…„„Z †M‡RU Gi wb‡`©k D‡cw¶Z|</t>
  </si>
  <si>
    <t>A_© gš¿Yvj‡qi Aby‡gv`b e¨ZxZ `ß‡ii Kg©Pvix‡`i‡K AwaKvj fvZv cwi‡kva Kivq miKv‡ii Avw_©K ÿwZ|</t>
  </si>
  <si>
    <t>wVKv`v‡ii wbKU n‡Z Drcv`bKvjxb bó/fv½v †cv‡ji Rb¨ Pzw³ Abyhvqx Rwigvbv eve` UvKv Av`vq bv Kivq miKv‡ii Avw_©K Abv`vqx|</t>
  </si>
  <si>
    <t>wVKv`v‡ii wej cwi‡kv‡ai †ÿ‡Î f¨vU Kg KZ©‡bi Kvi‡b miKv‡ii 9,40,335.00 UvKvi ivR¯^ ÿwZ|</t>
  </si>
  <si>
    <t>wcwcAvi-2008 jsNb K‡i wb‡Ri Avw_©K mxgvi g‡a¨ †i‡L GKB ai‡bi KvR‡K wewfbœ fv‡M wef³ K‡i GKB mg‡q GKB wVKv`vi‡K w`‡q Pzw³ m¤úv`‡bi gva¨‡g AwbqwgZfv‡e 8,66,29,500.00 UvKvi Kvh©m¤úv`b|</t>
  </si>
  <si>
    <t xml:space="preserve">gyj †eZ‡bi AwZwi³ AwaKvj fvZv cÖ`vb Kivq †ev‡W©I 7123601 UvKvi Avw_©K ÿwZ </t>
  </si>
  <si>
    <t xml:space="preserve">`vßwiK cÖv°wjZ gyj¨ c~b cwiÿv Ges Kg g~j¨ D×…Z Kivi KviY AbymÜvb bv K‡I A¯^vfvweK wb¤œ `‡I Kvh©v‡`k cÖ`vb Kivq AwbqwgZ e¨q 12394208 UvKv </t>
  </si>
  <si>
    <t xml:space="preserve"> টেস্ট রিপোর্ট ব্যতীত পিএলআই রিপোর্টের মাধ্যমে সরবরাহকৃত মালামাল গ্রহণপূর্বক ঠিকাদারকে বিল পরিশোধ করায় বোর্ডের অনিয়মিত ব্যয় ১১,২৮,৫৩,৪০৬ টাকা।</t>
  </si>
  <si>
    <t>৮,৮৬,৫০,০০৬</t>
  </si>
  <si>
    <t xml:space="preserve"> বাজেট বরাদ্দ ব্যতীত ব্যয় এবং বরাদ্দের অতিরিক্ত ব্যয় করায় সংস্থার অনিয়মিত ব্যয় ১৩,৪১,৮৩৯ টাকা।</t>
  </si>
  <si>
    <t>১৩,৪১,৮৩৯</t>
  </si>
  <si>
    <r>
      <t xml:space="preserve"> </t>
    </r>
    <r>
      <rPr>
        <sz val="11"/>
        <color rgb="FF000000"/>
        <rFont val="Nikosh"/>
      </rPr>
      <t>চুক্তির শর্ত লঙ্ঘন করে বিমা না করায় বিমা প্রিমিয়াম ও প্রিমিয়ামের উপরে ভ্যাট বাবদ সরকারের আর্থিক ক্ষতি ৩৪,০১,৪৭০ টাকা।</t>
    </r>
  </si>
  <si>
    <t xml:space="preserve"> ৩৪,০১,৪৭০</t>
  </si>
  <si>
    <t xml:space="preserve"> আদর্শ দরপত্র দলিল অনুযায়ী দরপত্র দলিল প্রণয়ন ব্যতিত অনিয়মিতভাবে ১,২৫,০৯,০২১ টাকার চুক্তি সম্পাদন ।</t>
  </si>
  <si>
    <t>১,২২,০৯,৯০১</t>
  </si>
  <si>
    <t>২০২৪-২০২৬</t>
  </si>
  <si>
    <t>১,২৫,০৮,৫৫৮</t>
  </si>
  <si>
    <t>মূল বেতনের অতিরিক্ত অধিকাল ভাতা প্রদান করায় বোর্ডের ২,২৮,৯১২ (দুই লক্ষ আটাশ হাজার নয়শত বার) টাকা আর্থিক ক্ষতি।</t>
  </si>
  <si>
    <t>সিডিউল অব রেইটস অপেক্ষা উচ্চ দরে চুক্তি সম্পাদন করায় প্রতিষ্ঠানের আর্থিক ক্ষতি ৫৩,৮১,৫৩০ (তিপান্ন লক্ষ একাশি হাজার পাঁচশত ত্রিশ) টাকা।</t>
  </si>
  <si>
    <t>ঠিকাদার কর্তৃক কার্যাদেশ অনুযায়ী নির্দিষ্ট পরিমাণ পোল উৎপাদন না করা সত্ত্বেও পুনারায় চুক্তি করায় প্রতিষ্ঠানের আর্থিক ক্ষতি ২৩,৯৫,৬৬৮ (তেইশ লক্ষ পঁচানব্বই হাজার ছয়শত আটষট্টি) টাকা।</t>
  </si>
  <si>
    <t>১৯৯০-১৯৯৭</t>
  </si>
  <si>
    <t>e‡Kqv Drme †evbvm eve` 1,31,414.00 
UvKv AwbqwgZ fv‡e cÖ`vb - †ev‡W©i Avw_©K ÿwZ|</t>
  </si>
  <si>
    <t>cÖ‡qvR‡bi  AwZwi³ gvjvgvj µ‡q cÖwZôv‡bi Avw_©K ÿwZ 1,96,43,902.00 UvKv|</t>
  </si>
  <si>
    <t>wcwcAvi-2008 jsNb K‡i wb‡Ri Avw_©K mxgvi g‡a¨ †i‡L GKB ai‡bi KvR‡K wewfbœ fv‡M wef³ K‡i GKB mg‡q GKB wVKv`vi‡K w`‡q Pzw³ m¤úv`‡bi gva¨‡g AwbqwgZfv‡e 99,82,024.00 UvKvi Kvh©m¤úv`b|</t>
  </si>
  <si>
    <t>২০০৪-২০১০</t>
  </si>
  <si>
    <t>A‡K‡Rv †NvlbvK…Z gvjvgvj wbjv‡g wewµi c`‡ÿc MÖnb bv Kivq ÿwZ</t>
  </si>
  <si>
    <t>wefvMxq evÛvi nB‡Z 666 †KwR Zvgvi Zvi Pzwi|</t>
  </si>
  <si>
    <t>১৯৯০-২০০২</t>
  </si>
  <si>
    <t>AwbqwgZ AwaKvj fvZv-</t>
  </si>
  <si>
    <t>‡óv‡i gvjvgvj NvUwZ</t>
  </si>
  <si>
    <t>২০০৬-২০০৯</t>
  </si>
  <si>
    <t>weD‡evi mwPevj‡qi Av‡`k D‡c¶v K‡i AwZwi³ ˆe`y¨wZK gvjvgvj µq</t>
  </si>
  <si>
    <t>অব্যবহার যোগ্য যানবাহন ও মালামাল দীর্ঘ দিন স্টোরে পরে থাকার পরেও নিলাম না করায় বিউবোর ১,২৫,১৩,৭০৩ টাকা আর্থিক ক্ষতি</t>
  </si>
  <si>
    <t>২০১১-২০১৬</t>
  </si>
  <si>
    <t xml:space="preserve">Kg©Pvix‡`i‡K wbqwgZ AwaKvj fvZv cÖ`vb, AwbqwgZfv‡e cÖvc¨Zvi AwZwi³ AwaKvj fvZv cÖ`vb Ges bb-‡UKwbK¨vj mKj Kg©Pvix‡K GKK I wØ¸b nv‡I AwaKvj fvZv cÖ`vb Kivq 87,67,140 UvKv vvw_©K ÿwZ| </t>
  </si>
  <si>
    <t>AwbqwgZfv‡e Kg©KZ©v/Kg©PvixMYÕ‡K cyi¯‹vi eve` 7,17,839.00 UvKv cwi‡kva</t>
  </si>
  <si>
    <t>wewfbœ †Kv¤úvbx n‡Z n¯ÍvšÍwiZ e‡Kqv we`y¨r wej Av`vq bv Kivq cÖwZôv‡bi 6,44,55,00,000/- (QqkZ Pzqvwjøk ‡KvwU cÂvbœ jÿ) UvKv Avw_©K ÿwZ|</t>
  </si>
  <si>
    <t>ঠিকাদারের বিল হতে আয়কর কর্তন না করায় সরকারের ২০,৮০,৭৫০ (বিশ লক্ষ আশি হাজার সাতশত পঁঞ্চাশ) টাকা আর্থিক ক্ষতি।</t>
  </si>
  <si>
    <t>নিরীক্ষাযোগ্য রেকর্ডপত্র নিরীক্ষা দলের নিকট উপস্থাপন করা হয়নি।</t>
  </si>
  <si>
    <t>মূল বেতনের অতিরিক্ত অধিকাল ভাতা প্রদান করায় বোর্ডের ২৭৭৫৯২ (দুই লক্ষ সাতাত্তর হাজার পাচঁশত বিরানব্বই) টাকা আর্থিক ক্ষতি।</t>
  </si>
  <si>
    <t>নিয়োগ সংক্রান্ত পরিপত্র উপেক্ষা করে বিউবো কর্তৃক ০২ টি পদে নিয়োগ প্রদান করে ২,০৮,০৭,৫৪১ (দুই কোটি আট লক্ষ সাত হাজার পাঁচশত একচল্লিশ টাকা) অনিয়মিত ব্যয়।</t>
  </si>
  <si>
    <t>প্ল্যান্টের Annual Dependable Capacity বেশি ঘোষণা করায় ক্যাপাসিটি চার্জ বাবদ বোর্ডের আর্থিক ক্ষতি ৩৮,৭৯,৪৮,৬০৭ টাকা</t>
  </si>
  <si>
    <t xml:space="preserve">৩৮,৭৯,৪৮,৬০৭ </t>
  </si>
  <si>
    <t>পরিচালক, আইপিপি সেল-২, বিউবো, ঢাকা।</t>
  </si>
  <si>
    <t>1.2.13</t>
  </si>
  <si>
    <t>Contract Capacity থেকে Dependable Capacity কম হওয়ার ক্ষেত্রে লিকুইডিটি ড্যামেজ (এলডি) নির্ধারণের শর্ত বিভিন্ন চুক্তিতে বিভিন্ন হওয়ূায় বি-বাড়ীয়া 70 মে.ও. রেন্টাল পাওয়ার হতে বিদ্যুৎ ক্রয়ে বোর্ডের ক্ষতি 9,14,19,700.00 টাকা ।</t>
  </si>
  <si>
    <t xml:space="preserve"> বন্ধ হয়ে যাওয়া রেন্টাল বিদ্যুৎ কেন্দ্রে জ্বালানি তেল সরবরাহের জন্য তেল বিপণন কোম্পানীসমূহকে অগ্রিম প্রদত্ত অর্থ অসমন্বিত থাকায় বোর্ডের আর্থিক ক্ষতি ১৩,৩৭,৩৭,৬২৫ টাকা।</t>
  </si>
  <si>
    <t>১৩,৩৭,৩৭,৬২৫</t>
  </si>
  <si>
    <r>
      <t xml:space="preserve"> </t>
    </r>
    <r>
      <rPr>
        <sz val="11"/>
        <color rgb="FF000000"/>
        <rFont val="Nikosh"/>
      </rPr>
      <t>নির্ধারিত সময়ে বিল পরিশোধে ব্যার্থ হওয়ায় Outage Hour এবং Availability Factor হিসাব করা ব্যাতীত ক্যাপাসিটি চার্জ পেমেন্ট করায় অনিয়মিত ব্যয় ৭৪৬,৯০,৮৭,২১১ টাকা।</t>
    </r>
  </si>
  <si>
    <t>৭৪৬,৯০,৮৭,২১১</t>
  </si>
  <si>
    <t xml:space="preserve"> রেন্টাল বিদ্যুৎ কেন্দ্রের নিকট অতিরিক্ত জ্বালানি বাবদ পাওনা টাকা আদায় না করায় বোর্ডের আর্থিক ক্ষতি ১১৩,৫০,৪৬,৩৩১ টাকা।</t>
  </si>
  <si>
    <t>১১৩,৫০,৪৬,৩৩১</t>
  </si>
  <si>
    <t>২০২1-২০২২</t>
  </si>
  <si>
    <t>weD‡evÕi Avw_©K ÿgZv Ac©Y Av‡`k/2018 D‡cÿv K‡i hvbevnb †givg‡Z evwl©K wmwjs mxgvi AwZwi³ e¨‡qi gva¨‡g †ev‡W©I 2,84,400/- (`yB jÿ Pzivwk nvRvi PvikZ) UvKv Avw_©K ÿwZ|</t>
  </si>
  <si>
    <t>2,84,400</t>
  </si>
  <si>
    <t>চুক্তিভিত্তিকনিয়োগপ্রাপ্তআইনউপদেষ্টাকেচুক্তিরশর্তলঙ্গনকরেবিভিন্নআর্থিকসুবিধাপ্রদানকরায়আর্থিকক্ষতি ৪,৯৭,২৫০ টাকা</t>
  </si>
  <si>
    <t>অভিযুক্ত ব্যক্তি বর্গের সার্থ রক্ষার্থে যথাসময়ে তদন্ত প্রতিবেদন প্রদান বিলম্ব হওয়ায় বিধি ও পদ্ধতিগত অনিয়ম</t>
  </si>
  <si>
    <t>আইন পরামর্শকের বিল হতে ভ্যাট কর্তন না করায় পিডিবির ৩,২৩,৮৬০ (তিন লক্ষ তেইশ হাজার আটশত ষাট) টাকা আর্থিক ক্ষতি ।</t>
  </si>
  <si>
    <t>বাংলাদেশ বিদ্যুৎ উনয়ন বোর্ডের মেরামত কারখানা থাকা সত্তেও অনিয়মিতভাবে গাড়ী মেরামত করায় ক্ষতি।</t>
  </si>
  <si>
    <t>গাড়ীর যন্ত্রাংশ সিডিউল রেট এবং দরপত্র আহবান ব্যতীত মেরামতযোগ্য ১০০% গাড়ীর জন্য ভূয়া ঠিকাদারের সহিত যোগসাজশ করে প্রতিটি গাড়ীর জন্য আলাদা আলাদা এবং ক্ষুদ্র ক্ষুদ্র কোটেশনের মাধ্যমে সংগৃহীত অধিক দরের ভিত্তিতে প্রাক্কলন প্রস্তুত। অনুমোদন ও কার্যসম্পাদন দেখিয়ে বিল পরিশোধ করায় সরকারের ক্ষতি।</t>
  </si>
  <si>
    <t>বাংলাদেশ বিদ্যুৎ উন্নয়ন বোর্ডের নিজস্ব মেরামত কারখানা থাকা সত্ত্বেও অনিয়মিতভাবে বাহিরের বেসরকারি কারখানায় গাড়ী মেরামত করায় ক্ষতি ৩০,৭১,৫৬৫ (ত্রিশ লক্ষ একাত্তর হাজার পাঁচশত পয়ষট্টি)  টাকা।</t>
  </si>
  <si>
    <t>পিপিআর-২০০৮ এর বিধি লংঘন করে সীমাতিরিক্ত শ্রমিক মজুরী বিল পরিশোধে বোর্ডের আর্থিক ক্ষতি ২২,৩৩,৩২৯ (বাইশ লক্ষ তেত্রিশ হাজার তিনশত ঊনত্রিশ) টাকা।</t>
  </si>
  <si>
    <t>পিপিআর, ২০০৮ উপেক্ষা করে কোটেশন এর মাধ্যমে সীমাতিরিক্ত ব্যয় ৭,৬৬,৬৬৯ টাকা।</t>
  </si>
  <si>
    <t>যানবাহন মেরামত খাতে অনিয়মিত ব্যয়ে সরকারের আর্থিক ক্ষতি ১৬,৩৪,৯৬০ (ষোল লক্ষ চৌত্রিশ হাজার নয়শত ষাট) টাকা।</t>
  </si>
  <si>
    <t>পিপিআর-2008 এর পরিপন্থিভাবে আর্থিক ক্ষমতার উর্ধ্বে অনিয়মিতভাবে ডিপিএম পদ্ধতিতে মেরামত কাজের অনুমোদন</t>
  </si>
  <si>
    <r>
      <t>OTM</t>
    </r>
    <r>
      <rPr>
        <sz val="11"/>
        <color theme="1"/>
        <rFont val="SutonnyMJ"/>
      </rPr>
      <t xml:space="preserve"> ‡hvM¨ KvR‡K </t>
    </r>
    <r>
      <rPr>
        <sz val="11"/>
        <color theme="1"/>
        <rFont val="Times New Roman"/>
        <family val="1"/>
      </rPr>
      <t>DPM</t>
    </r>
    <r>
      <rPr>
        <sz val="11"/>
        <color theme="1"/>
        <rFont val="SutonnyMJ"/>
      </rPr>
      <t xml:space="preserve"> Gi gva¨‡g m¤úv`‡b AwbqwgZ cwi‡kva|</t>
    </r>
  </si>
  <si>
    <t>16(1)</t>
  </si>
  <si>
    <t>বাজার দর যাচাই ব্যতীত ডিপিপি প্রণয়ন প্রাক্কলন ও প্রাক্কলিত ব্যয় অপেক্ষা অস্বভাবিক কম দরে চুক্তি সম্পাদন করায় অনিয়মিত ব্যয়</t>
  </si>
  <si>
    <t>ঠিকাদারী বিলে আযকর কম কর্তন করায় সরকারের রাজস্ব ক্ষতি</t>
  </si>
  <si>
    <r>
      <t>wewfbœ Pzw³i wecix‡Z wVKv`vi KZ©„K m¤úvw`Z c~Z© Kv‡Ri cwigvc ewn‡Z (</t>
    </r>
    <r>
      <rPr>
        <sz val="11"/>
        <color theme="1"/>
        <rFont val="Times New Roman"/>
        <family val="1"/>
      </rPr>
      <t>MB</t>
    </r>
    <r>
      <rPr>
        <sz val="11"/>
        <color theme="1"/>
        <rFont val="SutonnyMJ"/>
      </rPr>
      <t>) wnmvefz³ Qvov AwbqwgZfv‡e 1,11,88,759/- (GK †KvwU GMv‡iv jÿ AvUvwk nvRvi mvZkZ EblvU) UvKvi wej cwi‡kva|</t>
    </r>
  </si>
  <si>
    <t>ågY fvZv eve` cÖv‡c¨I AwZwi³ MÖnY Kivq Avw_©K ÿwZ 45,691/- ( cqZvwjøk nvRvi QqkZ GkvbeŸB) UvKv|</t>
  </si>
  <si>
    <t>আদর্শ দরপত্র দলিল মোতাবেক দরপত্র দলিল প্রণয়ন ব্যতিত অনিয়মিতভাবে চুক্তি সম্পাদন।</t>
  </si>
  <si>
    <t>চুক্তির শর্ত ভঙ্গ করে নন টেকনিক্যাল সদস্য দিয়ে প্রি-ডেলিভারি পরিদর্শন প্রতিবেদন প্রদান করায় অনিয়মিত ব্যয় ৩৪,৮৯,৬৭,০৯১ (চৌত্রিশ কোটি ঊননব্বই লক্ষ সাতষট্টি হাজার একানব্বই)টাকা।</t>
  </si>
  <si>
    <r>
      <t xml:space="preserve">cÖ‡qvRb bv _vKv ¯^‡Ë¦I cvjve`j fvZv cÖ`vb Kivq wcwWwei Avw_©K </t>
    </r>
    <r>
      <rPr>
        <sz val="11"/>
        <color theme="1"/>
        <rFont val="SumeshwariMJ"/>
      </rPr>
      <t>ÿw</t>
    </r>
    <r>
      <rPr>
        <sz val="11"/>
        <color theme="1"/>
        <rFont val="SutonnyMJ"/>
      </rPr>
      <t>Z 164497/- UvKv|</t>
    </r>
  </si>
  <si>
    <t>বিভিন্ন কাজে যোগসাজসের মাধ্যমে ঠিকাদার নির্বাচন করে (প্রাক্কলনে সকল দরদাতা ১০% নিম্নে দর দাখিল) অনিয়মিতভোবে ৫,৭০,৭৯,৯৩০/- টাকার কার্যসম্পাদন ।</t>
  </si>
  <si>
    <t>ঠিকাচুক্তির শর্ত অনুযায়ী যথাসময়ে কার্যসম্পাদন না হলেও কার্যসম্পাদন দেখিয়ে ঠিকাদারকে চুড়ান্তবিল পরিশোধ।  জড়িত টাকা ৪,০৬,১৪,৩৬৯ (চার কোটি ছয় লক্ষ চোদ্দ হাজার তিনশত ঊনসত্তর)।</t>
  </si>
  <si>
    <t xml:space="preserve">৪,০৬,১৪,৩৬৯ </t>
  </si>
  <si>
    <t>15(2)</t>
  </si>
  <si>
    <t>অর্থ মন্ত্রণালয়ের নির্দেশনা উপেক্ষা করে মাসিক মূল বেতনের অতিরিক্ত অধিকাল ভাতা প্রদান</t>
  </si>
  <si>
    <t>সরবরাহকাজকে পূর্তকাজ দেখিয়ে কার্যাদেশ প্রদান করায় অনিয়মিত ব্যয় ৮,৮০,৮৪১ (আটলক্ষ আশি হাজার আটশত একচল্লিশ) টাকা।</t>
  </si>
  <si>
    <t>দাপ্তরিক প্রাক্কলিত মূল্য প্রকাশ করে পারস্পরিক যোগসাজসের মাধ্যমে ঠিকাদার নির্বাচন পূর্বক অনিয়মিতভাবে ৮৫,৯০,২৭২ (পঁচাশি লক্ষ নব্বই হাজার দুইশত বাহাত্তর ) টাকার কার্য সম্পাদন।</t>
  </si>
  <si>
    <t>নির্বাহী প্রকৌশলী,পূর্ত নির্মাণ বিভাগ-০২, বিউবো, ঢাকা</t>
  </si>
  <si>
    <t xml:space="preserve"> পূর্বেই স্থাপনকৃত টাইলস পুনরায় স্থাপন দেখিয়ে বিল পরিশোধ করায় বোর্ডের আর্থিক ক্ষতি ১৮৪৮৪৫৮ (আঠার লক্ষ আটচল্লিশ হাজার চারশত আটান্ন) টাকা।</t>
  </si>
  <si>
    <t>সোলার ভিত্তিক বেসরকারি বিদ্যুৎ কেন্দ্রে ভিন্ন ট্যারিফ রেইট নির্ধারণ করে চুক্তি সম্পাদনের ফলে আর্থিক ক্ষতি ১০৭,০৬,০২,৭৩২/ -(একশত সাত কোটি ছয় লক্ষ দুই হাজার সাতশত বত্রিশ) টাকা আর্থিক ক্ষতি।</t>
  </si>
  <si>
    <r>
      <rPr>
        <sz val="11"/>
        <color theme="1"/>
        <rFont val="Nikosh"/>
      </rPr>
      <t xml:space="preserve"> বেসরকারিখাতে</t>
    </r>
    <r>
      <rPr>
        <b/>
        <sz val="11"/>
        <color theme="1"/>
        <rFont val="Nikosh"/>
      </rPr>
      <t xml:space="preserve"> </t>
    </r>
    <r>
      <rPr>
        <sz val="11"/>
        <color theme="1"/>
        <rFont val="Nikosh"/>
      </rPr>
      <t>স্থাপিত</t>
    </r>
    <r>
      <rPr>
        <b/>
        <sz val="11"/>
        <color theme="1"/>
        <rFont val="Nikosh"/>
      </rPr>
      <t xml:space="preserve"> </t>
    </r>
    <r>
      <rPr>
        <sz val="11"/>
        <color theme="1"/>
        <rFont val="Nikosh"/>
      </rPr>
      <t>তেলভিত্তিক</t>
    </r>
    <r>
      <rPr>
        <b/>
        <sz val="11"/>
        <color theme="1"/>
        <rFont val="Nikosh"/>
      </rPr>
      <t xml:space="preserve"> </t>
    </r>
    <r>
      <rPr>
        <sz val="11"/>
        <color theme="1"/>
        <rFont val="Nikosh"/>
      </rPr>
      <t>বিদ্যুৎ</t>
    </r>
    <r>
      <rPr>
        <b/>
        <sz val="11"/>
        <color theme="1"/>
        <rFont val="Nikosh"/>
      </rPr>
      <t xml:space="preserve"> </t>
    </r>
    <r>
      <rPr>
        <sz val="11"/>
        <color theme="1"/>
        <rFont val="Nikosh"/>
      </rPr>
      <t>কেন্দ্রসমূহের</t>
    </r>
    <r>
      <rPr>
        <b/>
        <sz val="11"/>
        <color theme="1"/>
        <rFont val="Nikosh"/>
      </rPr>
      <t xml:space="preserve"> </t>
    </r>
    <r>
      <rPr>
        <sz val="11"/>
        <color theme="1"/>
        <rFont val="Nikosh"/>
      </rPr>
      <t>চুক্তি</t>
    </r>
    <r>
      <rPr>
        <b/>
        <sz val="11"/>
        <color theme="1"/>
        <rFont val="Nikosh"/>
      </rPr>
      <t xml:space="preserve"> </t>
    </r>
    <r>
      <rPr>
        <sz val="11"/>
        <color theme="1"/>
        <rFont val="Nikosh"/>
      </rPr>
      <t>সমূহে</t>
    </r>
    <r>
      <rPr>
        <b/>
        <sz val="11"/>
        <color theme="1"/>
        <rFont val="Nikosh"/>
      </rPr>
      <t xml:space="preserve"> </t>
    </r>
    <r>
      <rPr>
        <sz val="11"/>
        <color theme="1"/>
        <rFont val="Nikosh"/>
      </rPr>
      <t>একক</t>
    </r>
    <r>
      <rPr>
        <b/>
        <sz val="11"/>
        <color theme="1"/>
        <rFont val="Nikosh"/>
      </rPr>
      <t xml:space="preserve"> </t>
    </r>
    <r>
      <rPr>
        <sz val="11"/>
        <color theme="1"/>
        <rFont val="Nikosh"/>
      </rPr>
      <t>Heat Rate</t>
    </r>
    <r>
      <rPr>
        <b/>
        <sz val="11"/>
        <color theme="1"/>
        <rFont val="Nikosh"/>
      </rPr>
      <t xml:space="preserve"> </t>
    </r>
    <r>
      <rPr>
        <sz val="11"/>
        <color theme="1"/>
        <rFont val="Nikosh"/>
      </rPr>
      <t>ব্যবহার</t>
    </r>
    <r>
      <rPr>
        <b/>
        <sz val="11"/>
        <color theme="1"/>
        <rFont val="Nikosh"/>
      </rPr>
      <t xml:space="preserve"> </t>
    </r>
    <r>
      <rPr>
        <sz val="11"/>
        <color theme="1"/>
        <rFont val="Nikosh"/>
      </rPr>
      <t>না</t>
    </r>
    <r>
      <rPr>
        <b/>
        <sz val="11"/>
        <color theme="1"/>
        <rFont val="Nikosh"/>
      </rPr>
      <t xml:space="preserve"> </t>
    </r>
    <r>
      <rPr>
        <sz val="11"/>
        <color theme="1"/>
        <rFont val="Nikosh"/>
      </rPr>
      <t>করে</t>
    </r>
    <r>
      <rPr>
        <b/>
        <sz val="11"/>
        <color theme="1"/>
        <rFont val="Nikosh"/>
      </rPr>
      <t xml:space="preserve"> </t>
    </r>
    <r>
      <rPr>
        <sz val="11"/>
        <color theme="1"/>
        <rFont val="Nikosh"/>
      </rPr>
      <t>ভিন্ন</t>
    </r>
    <r>
      <rPr>
        <b/>
        <sz val="11"/>
        <color theme="1"/>
        <rFont val="Nikosh"/>
      </rPr>
      <t xml:space="preserve"> </t>
    </r>
    <r>
      <rPr>
        <sz val="11"/>
        <color theme="1"/>
        <rFont val="Nikosh"/>
      </rPr>
      <t>ভিন্ন</t>
    </r>
    <r>
      <rPr>
        <b/>
        <sz val="11"/>
        <color theme="1"/>
        <rFont val="Nikosh"/>
      </rPr>
      <t xml:space="preserve"> </t>
    </r>
    <r>
      <rPr>
        <sz val="11"/>
        <color theme="1"/>
        <rFont val="Nikosh"/>
      </rPr>
      <t>চুক্তিতে</t>
    </r>
    <r>
      <rPr>
        <b/>
        <sz val="11"/>
        <color theme="1"/>
        <rFont val="Nikosh"/>
      </rPr>
      <t xml:space="preserve"> </t>
    </r>
    <r>
      <rPr>
        <sz val="11"/>
        <color theme="1"/>
        <rFont val="Nikosh"/>
      </rPr>
      <t>ভিন্ন</t>
    </r>
    <r>
      <rPr>
        <b/>
        <sz val="11"/>
        <color theme="1"/>
        <rFont val="Nikosh"/>
      </rPr>
      <t xml:space="preserve"> </t>
    </r>
    <r>
      <rPr>
        <sz val="11"/>
        <color theme="1"/>
        <rFont val="Nikosh"/>
      </rPr>
      <t>ভিন্ন</t>
    </r>
    <r>
      <rPr>
        <b/>
        <sz val="11"/>
        <color theme="1"/>
        <rFont val="Nikosh"/>
      </rPr>
      <t xml:space="preserve"> Heat Rate </t>
    </r>
    <r>
      <rPr>
        <sz val="11"/>
        <color theme="1"/>
        <rFont val="Nikosh"/>
      </rPr>
      <t>ব্যবহার</t>
    </r>
    <r>
      <rPr>
        <b/>
        <sz val="11"/>
        <color theme="1"/>
        <rFont val="Nikosh"/>
      </rPr>
      <t xml:space="preserve"> </t>
    </r>
    <r>
      <rPr>
        <sz val="11"/>
        <color theme="1"/>
        <rFont val="Nikosh"/>
      </rPr>
      <t>করায়</t>
    </r>
    <r>
      <rPr>
        <b/>
        <sz val="11"/>
        <color theme="1"/>
        <rFont val="Nikosh"/>
      </rPr>
      <t xml:space="preserve"> </t>
    </r>
    <r>
      <rPr>
        <sz val="11"/>
        <color theme="1"/>
        <rFont val="Nikosh"/>
      </rPr>
      <t>বিউবোর</t>
    </r>
    <r>
      <rPr>
        <b/>
        <sz val="11"/>
        <color theme="1"/>
        <rFont val="Nikosh"/>
      </rPr>
      <t xml:space="preserve"> </t>
    </r>
    <r>
      <rPr>
        <sz val="11"/>
        <color theme="1"/>
        <rFont val="Nikosh"/>
      </rPr>
      <t>আর্থিক</t>
    </r>
    <r>
      <rPr>
        <b/>
        <sz val="11"/>
        <color theme="1"/>
        <rFont val="Nikosh"/>
      </rPr>
      <t xml:space="preserve"> </t>
    </r>
    <r>
      <rPr>
        <sz val="11"/>
        <color theme="1"/>
        <rFont val="Nikosh"/>
      </rPr>
      <t>ক্ষতি</t>
    </r>
    <r>
      <rPr>
        <b/>
        <sz val="11"/>
        <color theme="1"/>
        <rFont val="Nikosh"/>
      </rPr>
      <t xml:space="preserve"> </t>
    </r>
    <r>
      <rPr>
        <sz val="11"/>
        <color theme="1"/>
        <rFont val="Nikosh"/>
      </rPr>
      <t>৩৫৭</t>
    </r>
    <r>
      <rPr>
        <b/>
        <sz val="11"/>
        <color theme="1"/>
        <rFont val="Nikosh"/>
      </rPr>
      <t>,</t>
    </r>
    <r>
      <rPr>
        <sz val="11"/>
        <color theme="1"/>
        <rFont val="Nikosh"/>
      </rPr>
      <t>৯৫</t>
    </r>
    <r>
      <rPr>
        <b/>
        <sz val="11"/>
        <color theme="1"/>
        <rFont val="Nikosh"/>
      </rPr>
      <t>,</t>
    </r>
    <r>
      <rPr>
        <sz val="11"/>
        <color theme="1"/>
        <rFont val="Nikosh"/>
      </rPr>
      <t>১০</t>
    </r>
    <r>
      <rPr>
        <b/>
        <sz val="11"/>
        <color theme="1"/>
        <rFont val="Nikosh"/>
      </rPr>
      <t>,</t>
    </r>
    <r>
      <rPr>
        <sz val="11"/>
        <color theme="1"/>
        <rFont val="Nikosh"/>
      </rPr>
      <t xml:space="preserve">৬৮৭ </t>
    </r>
    <r>
      <rPr>
        <b/>
        <sz val="11"/>
        <color theme="1"/>
        <rFont val="Nikosh"/>
      </rPr>
      <t>(</t>
    </r>
    <r>
      <rPr>
        <sz val="11"/>
        <color theme="1"/>
        <rFont val="Nikosh"/>
      </rPr>
      <t>তিনশত সাতান্ন কোটি পঁচানব্বই লক্ষ দশ হাজার ছয়শত সাতাশি</t>
    </r>
    <r>
      <rPr>
        <b/>
        <sz val="11"/>
        <color theme="1"/>
        <rFont val="Nikosh"/>
      </rPr>
      <t xml:space="preserve">) </t>
    </r>
    <r>
      <rPr>
        <sz val="11"/>
        <color theme="1"/>
        <rFont val="Nikosh"/>
      </rPr>
      <t>টাকা।</t>
    </r>
  </si>
  <si>
    <t xml:space="preserve">R¦vjvbx ‰Zj µq eve` e¨qK…Z A_© n‡Z RvZxq ivR¯^ †ev‡W©i wb‡`©kbv AbymiYc~e©K Dr‡m AvqKi KZ©b/Av`vq Kiv nqwb| d‡j, miKvi ivR¯^ cÖvwß n‡Z ewÂZ| </t>
  </si>
  <si>
    <t xml:space="preserve">wbjvg‡hvM¨ cY¨ wbjv‡g weµq bv Kivq weD‡evÕi ÿwZ| </t>
  </si>
  <si>
    <t xml:space="preserve">evwl©K µq cwiKíbv‡Z wba©vwiZ gyj¨ A‡cÿv AwZwi³ gyj¨ mieivnKvixi mv‡_ AwbqwgZ fv‡e 41781830 UvKvi Pzw³ m¤úv`b </t>
  </si>
  <si>
    <t xml:space="preserve">`vßwiK cÖv°wjZ gy‡j¨I †P‡q DaŸ©`‡I wVKv`v‡ii mwnZ Pzw³ m¤úv`b Kivq Avw_©K ÿwZ 3866030 UvKv </t>
  </si>
  <si>
    <t xml:space="preserve">cÖ‡qvRb hvPvB e¨ZxZ gvjvgvj µq K‡I †÷v‡I gRyZ K‡I ivLvq †evW© / miKv‡iii Avw_©K AePq 910438675 UvKv </t>
  </si>
  <si>
    <t>2307627/-</t>
  </si>
  <si>
    <t xml:space="preserve">Pzw³ m¤úv`b e¨ZxZ gvjvgvj MÖnb c~e©K AwbqwgZ fv‡e cwi‡kva Kiv n‡q‡Q </t>
  </si>
  <si>
    <t>Riæix ev we‡kvkvwqZ KvR bv nIqv ¯^‡Z¡I Dgy³ `icÎ c×wZi cwie‡Z© mxwgZ `icÎ c×wZ cÖ‡qv‡Mi gva¨‡g AwbqwgZ fv‡e 16347252 UvKvi Kvh© m¤úv`b</t>
  </si>
  <si>
    <t>mylg ev‡RU cÖYqb bv K‡I †eZb fvZvw` Lv‡Z AwZwi³ Pvwn`v Ges eiv‡Ïi d‡j D³ eiv‡Ïi wmsnfvM A_© Ae¨wqZ _vKv cÖms‡M|</t>
  </si>
  <si>
    <t>প্রয়োজন যাচাই ব্যাতিত মালামাল ক্রয় করে স্টোরে মজুদ করে রাখায় বোর্ড/সরকারি আর্থিক অপচয় ৯১,০৪,৩৮,৬৭৫ টাকা</t>
  </si>
  <si>
    <r>
      <rPr>
        <sz val="11"/>
        <color theme="1"/>
        <rFont val="SutonnyMJ"/>
      </rPr>
      <t xml:space="preserve">cÖ‡qvRb bv _vKv ¯^‡Ë¦I  gvjvgvj µqc~e©K `xN©w`b e¨envi bv K‡I †óv‡I gRy` _vKvq †evW Z_v miKv‡ii </t>
    </r>
    <r>
      <rPr>
        <sz val="11"/>
        <color theme="1"/>
        <rFont val="SumeshwariMJ"/>
      </rPr>
      <t>ÿwZ</t>
    </r>
    <r>
      <rPr>
        <sz val="11"/>
        <color theme="1"/>
        <rFont val="SutonnyMJ"/>
      </rPr>
      <t xml:space="preserve">                  |</t>
    </r>
  </si>
  <si>
    <t>সম্মানি বাবদ প্রাপ্যতার অতিরিক্ত ৫,৪৫,০০০ (পাঁচ লক্ষ পঁয়তাল্লিশ হাজার)টাকা পরিশোধ করা হয়েছে।</t>
  </si>
  <si>
    <t xml:space="preserve"> পাওয়ার প্ল্যান্টসমূহ কর্তৃক বিপিডিবিকে বার্ষিক রিপোর্ট প্রেরণ না করায় অনিয়ম সাধন।</t>
  </si>
  <si>
    <t xml:space="preserve"> টেন্ডার কোটেশন ব্যতীত অপেক্ষাকৃত বেশি দরে বেসরকারি বিদ্যুৎ কেন্দ্র হতে বিদ্যুৎ ক্রয় করায় বোর্ডের আর্থিক ক্ষতি ৮৮৩,১২,৩৪,৪৮১ টাকা।</t>
  </si>
  <si>
    <r>
      <t xml:space="preserve"> </t>
    </r>
    <r>
      <rPr>
        <sz val="11"/>
        <color theme="1"/>
        <rFont val="Bangla"/>
        <family val="4"/>
      </rPr>
      <t>দুর্বল চুক্তি সম্পাদন করে প্ল্যান্টের মূল্য বাবদ ক্যাপাসিটি চার্জ প্রদান করা হলেও চুক্তির মেয়াদ শেষে প্ল্যান্টের মালিকানা বিপিডিবি’র না হওয়ায় সরকারের আর্থিক ক্ষতি ১৩১১৯,০১,০৪,৯৩৫ টাকা।</t>
    </r>
  </si>
  <si>
    <t>ঢাকা</t>
  </si>
  <si>
    <t>Total</t>
  </si>
  <si>
    <t>ব্যবস্থাপক, 
বরিশাল গ্যাস টারবাইন বিদ্যুৎ কেন্দ্র
বিউবো, বরিশাল।</t>
  </si>
  <si>
    <t>৯১-৯৩
অনুঃ-৯</t>
  </si>
  <si>
    <t>৯২-৯৩
অনুঃ-১১
পৃষ্ঠা নং-১৯</t>
  </si>
  <si>
    <t>বোর্ডের বাসায় বসবাসকারীদের নিকট বিদ্যুৎ বিল অনাদায়ী।</t>
  </si>
  <si>
    <t>বার্ষিক রিপোর্টভূক্ত</t>
  </si>
  <si>
    <t>৯১-৯৩
অনুঃ-১৫</t>
  </si>
  <si>
    <t>৯২-৯৩
অনুঃ-৫(১)
পৃষ্ঠা নং-১৪-১৫</t>
  </si>
  <si>
    <t>অনিয়মিত ভাবে বাড়ী ভাড়া প্রদান।</t>
  </si>
  <si>
    <t>৮৮-৯০
অনুঃ-৮</t>
  </si>
  <si>
    <t>৯২-৯৩
অনুঃ-৬
পৃষ্ঠা নং-১৬</t>
  </si>
  <si>
    <t>অনিয়মিত ভাবে টিফিন ভাতা প্রদান।</t>
  </si>
  <si>
    <t>উপ-পরিচালক, শুল্ক মুক্তি ও স্থানান্তর আগ্রাবাদ, বিউবো, চট্টগ্রাম।</t>
  </si>
  <si>
    <t>৯০-৯১
অনুঃ-৪</t>
  </si>
  <si>
    <t>৯৩-৯৪
অনুঃ-৫</t>
  </si>
  <si>
    <t xml:space="preserve">ডেমারেজ চার্জ বাবদ অতিরিক্ত পরিশোধ। </t>
  </si>
  <si>
    <t>৯৩-৯৪
অনুঃ-১</t>
  </si>
  <si>
    <t>৯৫-৯৬
অনুঃ-২০
পৃষ্ঠা নং-২০</t>
  </si>
  <si>
    <t>কন্টেইনার ডেমারেজ।</t>
  </si>
  <si>
    <t>৭৭-৭৮
অনুঃ-১</t>
  </si>
  <si>
    <t>৮৬-৮৭
অনুঃ-৯৬(৬৮)</t>
  </si>
  <si>
    <t>সময়মত মালামাল খালাস না করায় জেটি ও গুদাম ভাড়ায় ক্ষতি।</t>
  </si>
  <si>
    <t xml:space="preserve">কেন্দ্রীয় ভান্ডার, ফৌজদারহাট, বিউবো, চট্টগ্রাম। </t>
  </si>
  <si>
    <t>৮৫-৮৬
অনুঃ-১</t>
  </si>
  <si>
    <t>৯১-৯২ 
অনুঃ-৭ 
পৃষ্ঠা নং-৯</t>
  </si>
  <si>
    <t>সেটআপ বহির্ভূত ব্যয়।</t>
  </si>
  <si>
    <t>৮৮-৮৯
অনুঃ-২</t>
  </si>
  <si>
    <t>৯১-৯২
অনুঃ-২৩
পৃষ্ঠা নং-১৯</t>
  </si>
  <si>
    <t xml:space="preserve">মালামাল ঘাটতি। </t>
  </si>
  <si>
    <t>ঘাটতি</t>
  </si>
  <si>
    <t>৮৮-৮৯
অনুঃ-১</t>
  </si>
  <si>
    <t>৯১-৯২
অনুঃ-২৪ 
পৃষ্ঠা নং-২০</t>
  </si>
  <si>
    <t>৯৪-৯৬
অনুঃ-৬</t>
  </si>
  <si>
    <t xml:space="preserve">৯৬-৯৭
অনুঃ-৩(৪)
পৃষ্ঠা নং-১৪-১৫ </t>
  </si>
  <si>
    <t>বাড়ীভাড়া কর্তন না করায় ক্ষতি।</t>
  </si>
  <si>
    <t>২০১৬-১৭ অনুঃ</t>
  </si>
  <si>
    <t>২০১৭-১৮   অনুঃ-৪ (২)</t>
  </si>
  <si>
    <t>কর্মকর্তা ও কর্মচারীদেরকে পাওয়ার হাউজ ও ইলেকট্রিসিটি ভাতা অনিয়মিতভাবে প্রদান করায় বোর্ডের আর্থিক ক্ষতি।</t>
  </si>
  <si>
    <t>৯৫-৯৬
অনুঃ-৫</t>
  </si>
  <si>
    <t xml:space="preserve">৯৭-৯৮
অনুঃ-৪
পৃষ্ঠা নং-১৪-১৫ </t>
  </si>
  <si>
    <t xml:space="preserve">সরকারী ট্রাকের ভাড়া অনাদায়ী। </t>
  </si>
  <si>
    <t>২০১৭-১৮ অনুঃ-৫(২)</t>
  </si>
  <si>
    <t>অর্থ মন্ত্রণালয়ের অনুমোদন ব্যতিত কর্মচারীদের আবাসিক গ্যাস বিল বিউবো এর তহবিল হতে পরিশোধ করায় আর্থিক ক্ষতি।</t>
  </si>
  <si>
    <t>দোহাজারী বিদ্যুৎ সরবরাহ, বিউবো, চট্টগ্রাম।</t>
  </si>
  <si>
    <t>৯১-৯২
অনুঃ-১০
পৃষ্ঠা নং-১২</t>
  </si>
  <si>
    <t>৯৭-৯৮
অনুঃ-৬</t>
  </si>
  <si>
    <t>৯৭-৯৮
অনুঃ-১১(৭)
পৃঃ-২২-২৩</t>
  </si>
  <si>
    <t xml:space="preserve">বিচিছন্নকৃত গ্রাহকদের নিকট বকেয়া। </t>
  </si>
  <si>
    <t>নির্বাহী প্রকৌশলী, 
বিক্রয় ও বিতরণ বিভাগ, বাকলিয়া,
বিউবো, চট্টগ্রাম।</t>
  </si>
  <si>
    <t>২০১৬-১৭
অনুঃ</t>
  </si>
  <si>
    <t>২০১৭-১৮
অনুঃ-২(৪)</t>
  </si>
  <si>
    <t>বিভিন্ন শ্রেণীর ১২৩ জন গ্রাহকদের নিকট হতে বিদ্যুৎ বিল আদায় না করায় বোর্ডের আর্থিক ক্ষতি।</t>
  </si>
  <si>
    <t>২০০৭-০৮
অনুঃ নং-</t>
  </si>
  <si>
    <t>২০১০-১১
অনুঃ-১০(ঞ-৪)
পৃষ্ঠা নং (পরি)-২৯</t>
  </si>
  <si>
    <t>সংযোগ বিচ্ছিন্ন গ্রাহকের নিকট বিদ্যুৎ বিল অনাদায়ী থাকায় সরকারের রাজস্ব ক্ষতি।</t>
  </si>
  <si>
    <t>২০০৯-১০
অনুঃ নং-৫</t>
  </si>
  <si>
    <t>২০১০-১১
অনুঃ-২(২)
পৃষ্ঠা নং (পরি)-৬</t>
  </si>
  <si>
    <t>মন্ত্রণালয়ের নির্দেশ এবং বিদ্যুতের মূল্য্যহার ও নিয়মাবলী উপেক্ষা করে দীর্ঘদিন বিদ্যুৎ বিল পরিশোধ না করা সত্ত্বেও ৪৮ জন গ্রাহকের সংযোগ বিচ্ছিন্ন না করে অনিয়মিতভাবে বিদ্যুৎ ব্যবহারের সুযোগ প্রদান করায় সংস্থার রাজস্ব অনাদায়ী।</t>
  </si>
  <si>
    <t>২০০৯-১০
অনুঃ নং-</t>
  </si>
  <si>
    <t>২০১০-১১
অনুঃ-৬(১০)
পৃষ্ঠা নং (পরি)-৪৯</t>
  </si>
  <si>
    <t>সংযোগ বিচ্ছিন্ন ১২ জন গ্রাহকের নিকট বিদ্যুৎ বিল অনাদায়ী।</t>
  </si>
  <si>
    <t>২০১০-১১
অনুঃ নং-১</t>
  </si>
  <si>
    <t>২০১১-১২
অনুঃ-২(৯)
পৃষ্ঠা নং (পরি)-১৯ হইতে ২০</t>
  </si>
  <si>
    <t>মন্ত্রণালয়ের নির্দেশ এবং বিদ্যুতের মূল্য্যহার ও নিয়মাবলী উপেক্ষা করে দীর্ঘদিন বিদ্যুৎ বিল পরিশোধ না করা সত্ত্বেও ২৪ জন গ্রাহকের সংযোগ বিচ্ছিন্ন না করে অনিয়মিতভাবে বিদ্যুৎ ব্যবহারের সুযোগ প্রদান করায় সংস্থার রাজস্ব অনাদায়ী।</t>
  </si>
  <si>
    <t>২০১০-১১
অনুঃ নং-৩</t>
  </si>
  <si>
    <t>২০১১-১২
অনুঃ-৩(৯)
পৃষ্ঠা নং (পরি)-৫৭</t>
  </si>
  <si>
    <t>সংযোগ বিচ্ছিন্ন ৩৮ জন গ্রাহকের নিকট বিদ্যুৎ বিল অনাদায়জনিত বিউবো’র রাজস্ব ক্ষতি।</t>
  </si>
  <si>
    <t>২০১০-১১
অনুঃ নং-৫</t>
  </si>
  <si>
    <t>২০১১-১২
অনুঃ-৬(৩)
পৃষ্ঠা নং (পরি)-৭৯</t>
  </si>
  <si>
    <t>ঠিকাদারের নিকট হতে কম কর্তনকৃত ভ্যাট ও জরিমানা আদায় না করায় রাজস্ব ক্ষতি।</t>
  </si>
  <si>
    <t>নির্বাহী প্রকৌশলী, 
স্ক্যাডা পরিচালন বিভাগ
খুলশী, বিউবো, চট্টগ্রাম।</t>
  </si>
  <si>
    <t xml:space="preserve">২০১৬-১৭
অনুঃ	</t>
  </si>
  <si>
    <t>২০১৭-১৮
অনুঃ-৩(৭)</t>
  </si>
  <si>
    <t>জাতীয় রাজস্ব বোর্ডের নির্দেশনা উপেক্ষা করে ভ্যাট কম কর্তন করায় রাজস্ব ক্ষতি হয়েছে।</t>
  </si>
  <si>
    <t>নির্বাহী প্রকৌশলী, আঞ্চলিক পূর্ত নির্মাণ বিভাগ, বিউবো, চট্টগ্রাম।</t>
  </si>
  <si>
    <t>২০০৩-০৪
অনুঃ নং-২</t>
  </si>
  <si>
    <t>২০০৩-০৪
অনুঃ-২০(ক)
পৃষ্ঠা নং- ৮৪</t>
  </si>
  <si>
    <t>অনিয়মিত ভাবে অধিকাল ভাতা পরিশোধ।</t>
  </si>
  <si>
    <t>নির্বাহী প্রকৌশলী, পিসিপোল নির্মাণ প্লান্ট, বিউবো, হালিশহর, চট্টগ্রাম।</t>
  </si>
  <si>
    <t>২০০৮-০৯
অনুঃ নং-১</t>
  </si>
  <si>
    <t>২০০৯-১০
অনুঃ-৫(২)
পৃষ্ঠা নং (পরি)-১২</t>
  </si>
  <si>
    <t>ঠিকাদারের নিকট হতে ভ্যাট ও আয়কর বাবদ অনাদায়ী।</t>
  </si>
  <si>
    <t>নির্বাহী প্রকৌশলী, বিক্রয় ও বিতরণ বিভাগ, (সাবেক মিরসরাই) বিউবো, ফৌজদারাহাট, চট্টগ্রাম।</t>
  </si>
  <si>
    <t>৯৯-২০০১
অনুঃ-১</t>
  </si>
  <si>
    <t>২০০০-০১
অনুঃ-১(১)
পৃষ্ঠা-১১</t>
  </si>
  <si>
    <t>সংযোগ বিচ্ছিন্ন গ্রাহকদের নিকট অনাদায়ী।</t>
  </si>
  <si>
    <t>৯৮-২০০০
অনুঃ-৪</t>
  </si>
  <si>
    <t>২০০০-০১
অনুঃ-১(৯)
পৃষ্ঠা-১২</t>
  </si>
  <si>
    <t>সংযোগ বিচিছন্ন গ্রাহকগণের নিকট অনাদায়ী। ২৮১৫৪৮.৫২</t>
  </si>
  <si>
    <t>৯৯-২০০১
অনুঃ-২</t>
  </si>
  <si>
    <t>২০০০-০১
অনুঃ-৭
পৃষ্ঠা-৪৮</t>
  </si>
  <si>
    <t>সারচার্জ ব্যতিরেকে বিদ্যুৎ বিল গ্রহণ করায় বোর্ডের ক্ষতি।</t>
  </si>
  <si>
    <t>২০০২-০৩
অনুঃ-৬</t>
  </si>
  <si>
    <t>২০০২-০৩
অনুঃ-৯(ক)
পৃষ্ঠা নং-৩৫</t>
  </si>
  <si>
    <t>সংযোগ বিচিছন্ন গ্রাহকগণের নিকট বকেয়া অনাদায়ী।</t>
  </si>
  <si>
    <t>২০১০-১১
অনুঃ-৬(৪)
পৃষ্ঠা নং (পরি)- ৩২ হইাতে ৩৭</t>
  </si>
  <si>
    <t>সংযোগ বিচ্ছিন্ন ২৮৬ জন গ্রাহকের নিকট বিদ্যুৎ বিল অনাদায়ী।</t>
  </si>
  <si>
    <t>২০১০-১১
অনুঃ নং-</t>
  </si>
  <si>
    <t>২০১১-১২
অনুঃ-২(১০)
পৃষ্ঠা নং (পরি)-২০</t>
  </si>
  <si>
    <t>মন্ত্রণালয়ের নির্দেশ এবং বিদ্যুতের মূল্য্যহার ও নিয়মাবলী উপেক্ষা করে দীর্ঘদিন বিদ্যুৎ বিল পরিশোধ না করা সত্ত্বেও ০১ জন গ্রাহকের সংযোগ বিচ্ছিন্ন না করে অনিয়মিতভাবে বিদ্যুৎ ব্যবহারের সুযোগ প্রদান করায় সংস্থার রাজস্ব অনাদায়ী।</t>
  </si>
  <si>
    <t>২০১১-১২
অনুঃ-৭(৪)
পৃষ্ঠা নং (পরি)-৮১</t>
  </si>
  <si>
    <t>বৈদ্যুতিক মালামাল ও ট্রান্সফরমার চুরি হওয়ায় বোর্ডের আর্থিক ক্ষতি।</t>
  </si>
  <si>
    <t>৯৬-৯৭
অনুঃ-৬</t>
  </si>
  <si>
    <t>৯৬-৯৭
অনুঃ-৫(১)
পৃষ্ঠা নং-১৬-১৭</t>
  </si>
  <si>
    <t xml:space="preserve">অস্থায়ী সংযোগ  প্রাপ্ত গ্রাহকদের নিকট বকেয়া। </t>
  </si>
  <si>
    <t>নির্বাহী প্রকৌশলী, বিক্রয় ও বিতরণ বিভাগ, আগ্রাবাদ, বিউবো, চট্টগ্রাম।</t>
  </si>
  <si>
    <t>২০১০-১১
অনুঃ-১০(ঞ-২)
পৃষ্ঠা নং (পরি)-২৭</t>
  </si>
  <si>
    <t>২০১১-১২
অনুঃ-২(১৪)
পৃষ্ঠা নং (পরি)-২৭ হইতে ২৮</t>
  </si>
  <si>
    <t>মন্ত্রণালয়ের নির্দেশ এবং বিদ্যুতের মূল্য্যহার ও নিয়মাবলী উপেক্ষা করে দীর্ঘদিন বিদ্যুৎ বিল পরিশোধ না করা সত্ত্বেও ৬২ জন গ্রাহকের সংযোগ বিচ্ছিন্ন না করে অনিয়মিতভাবে বিদ্যুৎ ব্যবহারের সুযোগ প্রদান করায় সংস্থার রাজস্ব অনাদায়ী।</t>
  </si>
  <si>
    <t>২০১৭-১৮
অনুঃ-২(৬)</t>
  </si>
  <si>
    <t>বিভিন্ন শ্রেণীর ৮৮ জন গ্রাহকদের নিকট হতে বিদ্যুৎ বিল আদায় না করায় বোর্ডের আর্থিক ক্ষতি।</t>
  </si>
  <si>
    <t>৯৬-৯৭
অনুঃ-৯</t>
  </si>
  <si>
    <t>৯৬-৯৭
অনুঃ-৫(২)
পৃষ্ঠা নং-১৬-১৭</t>
  </si>
  <si>
    <t xml:space="preserve">অস্থায়ী সংযোগ প্রাপ্ত গ্রাহকদের নিকট বকেয়া। </t>
  </si>
  <si>
    <t>নির্বাহী প্রকৌশলী, বিক্রয় ও বিতরণ বিভাগ, কালুরঘাট, ( প্রাক্তন পরিচালন ও সংরক্ষন বিভাগ-২, আগ্রাবাদ) বিউবো, চট্টগ্রাম।</t>
  </si>
  <si>
    <t>২০০০-০১
অনুঃ-৪</t>
  </si>
  <si>
    <t xml:space="preserve">২০০০-২০০১ অনুঃ-২(৫)
পৃষ্ঠা-২৫ </t>
  </si>
  <si>
    <t xml:space="preserve">বিভিন্ন শ্রেনীর গ্রাহকদের নিকট বকেয়া। </t>
  </si>
  <si>
    <t>২০১০-১১
অনুঃ-৪(৫)
পৃষ্ঠা নং (পরি)-২৯</t>
  </si>
  <si>
    <t>নির্ধারিত লক্ষ্যমাত্রা অনুযায়ী  সিষ্টেম লস সীমিত রাখার ব্যর্থতাজনিত কারণে সরকারের আর্থিক ক্ষতি।</t>
  </si>
  <si>
    <t>২০১০-১১
অনুঃ-৬(৬)
পৃষ্ঠা নং (পরি)-৪২ হইাতে ৪৪</t>
  </si>
  <si>
    <t>সংযোগ বিচ্ছিন্ন ১৪১ জন গ্রাহকের নিকট বিদ্যুৎ বিল অনাদায়ী।</t>
  </si>
  <si>
    <t>৯২-৯৩
অনুঃ-১১</t>
  </si>
  <si>
    <t xml:space="preserve">৯৫-৯৬
অনুঃ-১১(৩)
পৃষ্ঠা নং-১৭ </t>
  </si>
  <si>
    <t>সরকারী শুল্ক কম আদায়। টাকা-৩৭,৮৯,৮৭১/৫৫</t>
  </si>
  <si>
    <t>৯৫-৯৬
অনুঃ-৪</t>
  </si>
  <si>
    <t>৯৫-৯৬
অনুঃ-১৪
পৃষ্ঠা নং-১৮</t>
  </si>
  <si>
    <t>পেনাল্টি বিল আদায়যোগ্য।</t>
  </si>
  <si>
    <t>৯৪-৯৫
অনুঃ-৪</t>
  </si>
  <si>
    <t>৯৫-৯৬
অনুঃ-১৬
পৃষ্ঠা নং-১৯</t>
  </si>
  <si>
    <t>"ব্যাংক সুদ আদায়যোগ্য। 
টাকা ২,৫২,৬২৬/-
**নথি নাই"</t>
  </si>
  <si>
    <t>৯১-৯২
অনুঃ-১</t>
  </si>
  <si>
    <t>৯৫-৯৬
অনুঃ-৫(১)
পৃষ্ঠা নং-১৪</t>
  </si>
  <si>
    <t>বর্ধিত বেতনের উপর বকেয়া অধিকাল ভাতা প্রদান।</t>
  </si>
  <si>
    <t>নির্বাহী প্রকৌশলী, বিক্রয় ও বিতরণ বিভাগ, খুলশী, (সাবেক বানিজ্যিক পরিচালন উচ্চ চাপ বিভাগ) বিউবো, চট্টগ্রাম।</t>
  </si>
  <si>
    <t>২০০৪-০৫
অনুঃ নং-</t>
  </si>
  <si>
    <t>২০০৪-০৫
অনুঃ-১৩ (ঞ)
পৃষ্ঠা নং-৯৬,
৯৭,৯৮</t>
  </si>
  <si>
    <t xml:space="preserve">নিখোঁজ গ্রাহকদের নিকট সারচার্জসহ বিদ্যুৎ বিল আদায় না করায় ক্ষতি। </t>
  </si>
  <si>
    <t>৯০-৯১
অনুঃ-১</t>
  </si>
  <si>
    <t>৯২-৯৩
অনুঃ-১২
পৃষ্ঠা নং-২০</t>
  </si>
  <si>
    <t xml:space="preserve">অস্থায়ী অগ্রিম অসমন্বিত। </t>
  </si>
  <si>
    <t>৯২-৯৩
অনুঃ-৬</t>
  </si>
  <si>
    <t>৯৫-৯৬
অনুঃ-১০(২)
পৃষ্ঠা নং-১৬</t>
  </si>
  <si>
    <t>পুনঃ সংযোগ চার্জ অনাদায়।</t>
  </si>
  <si>
    <t>৯২-৯৩
অনুঃ-২</t>
  </si>
  <si>
    <t>৯৫-৯৬
অনুঃ-৪(১)</t>
  </si>
  <si>
    <t xml:space="preserve">সুদ ও সারচার্জ অনাদায়ী।টাকা ৪,৭৭,০২৮/- </t>
  </si>
  <si>
    <t>৯৪-৯৫
অনুঃ-২</t>
  </si>
  <si>
    <t>৯৫-৯৬
অনুঃ-৪(২) 
পৃষ্ঠা নং-১৩</t>
  </si>
  <si>
    <t xml:space="preserve">সুদ ও সারচার্জ অনাদায়ী। </t>
  </si>
  <si>
    <t>৯৮-৯৯
অনুঃ-৩</t>
  </si>
  <si>
    <t>৯৮-৯৯
অনুঃ-৭
পৃষ্ঠা নং-৩৫</t>
  </si>
  <si>
    <t xml:space="preserve">মেসার্স সি এস এস কর্পোরেশন এর নিকট বিদ্যুৎ বিল বকেয়া। </t>
  </si>
  <si>
    <t>নির্বাহী প্রকৌশলী, বিক্রয় ও বিতরণ বিভাগ, পাথরঘাটা, (সাবেক বানিজ্যিক পরিচালন এলটি বিভাগ-১) বিউবো, চট্টগ্রাম।</t>
  </si>
  <si>
    <t>২০০৩-০৪
অনুঃ নং-</t>
  </si>
  <si>
    <t>২০০৩-০৪
অনুঃ-১৬(চ) 
পৃষ্ঠা নং-৬০</t>
  </si>
  <si>
    <t xml:space="preserve">সংযোগ বিচ্ছিন্ন গ্রাহকদের নিকট বিদ্যুৎ বিল বাবদ বকেয়া। </t>
  </si>
  <si>
    <t xml:space="preserve">২০০৩-০৪
অনুঃ নং-৫
</t>
  </si>
  <si>
    <t>২০০৩-০৪
অনুঃ-১৮ 
পৃষ্ঠা নং-৮০</t>
  </si>
  <si>
    <t>নিখোঁজ গ্রাহকদের নিকট বকেয়া।</t>
  </si>
  <si>
    <t xml:space="preserve">২০০৩-০৪
অনুঃ নং-৪
</t>
  </si>
  <si>
    <t>২০০৩-০৪
অনুঃ-১৯(খ) 
পৃষ্ঠা নং-৮১</t>
  </si>
  <si>
    <t>“সি” শ্রেনীর গ্রাহকদের নিকট বকেয়া।</t>
  </si>
  <si>
    <t>২০০৮-১১
অনুঃ নং-</t>
  </si>
  <si>
    <t>২০১১-১২
অনুঃ-২(৬)(র)
পৃষ্ঠা নং (পরি)-১২</t>
  </si>
  <si>
    <t>মন্ত্রণালয়ের নির্দেশ এবং বিদ্যুতের মূল্য্যহার ও নিয়মাবলী উপেক্ষা করে দীর্ঘদিন বিদ্যুৎ বিল পরিশোধ না করা সত্ত্বেও ২৩ জন গ্রাহকের সংযোগ বিচ্ছিন্ন না করে অনিয়মিতভাবে বিদ্যুৎ ব্যবহারের সুযোগ প্রদান করায় সংস্থার রাজস্ব অনাদায়ী।</t>
  </si>
  <si>
    <t>২০১১-১২
অনুঃ-২(৬)(রর)
পৃষ্ঠা নং (পরি)-১৩</t>
  </si>
  <si>
    <t>৮৮-৮৯
অনুঃ-৬</t>
  </si>
  <si>
    <t xml:space="preserve">৯০-৯১
অনুঃ-১১
পৃষ্ঠা নং-৯
</t>
  </si>
  <si>
    <t>বাজেট বরাদ্ধে অতিঃ অর্থ অনিয়মিত ভাবে ব্যয়।</t>
  </si>
  <si>
    <t>৯৩-৯৪
অনুঃ-৪</t>
  </si>
  <si>
    <t>৯৫-৯৬
অনুঃ-২১
পৃষ্ঠা নং-২০</t>
  </si>
  <si>
    <t>কম মূল্যহারে বিল প্রণয়ন।</t>
  </si>
  <si>
    <t xml:space="preserve">নির্বাহী প্রকৌশলী, বিক্রয় ও বিতরণ বিভাগ, পাহাড়তলী, বিউবো, চট্টগ্রাম। </t>
  </si>
  <si>
    <t>২০০৩-০৪
অনুঃ-১৬(ঙ)
পৃষ্ঠা নং- ৬০</t>
  </si>
  <si>
    <t>২০০৪-০৫
অনুঃ-১২
পৃষ্ঠা নং-৭৭</t>
  </si>
  <si>
    <t>অস্থায়ী সংযোগ গ্রহণকারী গ্রাহকের বিদ্যুৎ বিল জারি না করায় বোর্ডের ক্ষতি।</t>
  </si>
  <si>
    <t>২০০৪-০৫
অনুঃ-৭(ঙ)
পৃষ্ঠা নং-৩১</t>
  </si>
  <si>
    <t xml:space="preserve">নির্ধারিত হারের অতিরিক্ত সিষ্টেমলস এর কারণে বোর্ড/সরকারের ক্ষতি। </t>
  </si>
  <si>
    <t>২০০৬-০৭
অনুঃ নং-৮</t>
  </si>
  <si>
    <t>২০০৯-১০
অনুঃ-১০(৩)
পৃষ্ঠা নং (পরি)-১৯ ও ২০</t>
  </si>
  <si>
    <t xml:space="preserve">সংযোগ বিচ্ছিন্ন গ্রাহকদের নিকট বকেয়া।
৪২,৯৬,৭০৫.০০
</t>
  </si>
  <si>
    <t>২০১১-১২
অনুঃ-৮
পৃষ্ঠা নং (পরি)-৮২</t>
  </si>
  <si>
    <t>বিদ্যুৎ সাশ্রয়ের জন্য সংগৃহীত সিএফএল বাল্ব গ্রাহকগণের মধ্যে বিতরণ না করে অহেতুকভাবে মজুদ রাখায় ক্ষতি।</t>
  </si>
  <si>
    <t>৯৬-৯৭
অনুঃ-২</t>
  </si>
  <si>
    <t xml:space="preserve">৯৬-৯৭
অনুঃ-১(৩)
পৃষ্ঠা নং-১৩
</t>
  </si>
  <si>
    <t>মালামাল চুরি।</t>
  </si>
  <si>
    <t>৯৩-৯৬
অনুঃ-৬</t>
  </si>
  <si>
    <t>৯৬-৯৭
অনুঃ-১(৫) 
পৃষ্ঠা নং-১৩</t>
  </si>
  <si>
    <t>৯৬-৯৭
অনুঃ-৭</t>
  </si>
  <si>
    <t xml:space="preserve">৯৬-৯৭
অনুঃ-১০
পৃষ্ঠা নং-১৯ </t>
  </si>
  <si>
    <t>রাজস্ব সংগ্রহকারী ব্যাংক সমূহের নিকট জরিমানা অনাদায়ী।</t>
  </si>
  <si>
    <t>৯৬-৯৭
অনুঃ-৩</t>
  </si>
  <si>
    <t>৯৬-৯৭
অনুঃ-১৩  
পৃষ্ঠা নং-২০</t>
  </si>
  <si>
    <t xml:space="preserve">পুনঃ সংযোগ ফি আদায় না করায় ক্ষতি। </t>
  </si>
  <si>
    <t>নির্বাহী প্রকৌশলী, বিক্রয় ও বিতরণ বিভাগ, ষোলশহর (সাবেক পরিচালন বিভাগ-২, বিবিবি-কালুরঘাট) , চট্টগ্রাম</t>
  </si>
  <si>
    <t>২০০০-০১
অনুঃ-২</t>
  </si>
  <si>
    <t xml:space="preserve">২০০০-০১
অনুঃ-১(৪)
পৃষ্ঠা নং-১১ </t>
  </si>
  <si>
    <t>২০০৪-০৬
অনুঃ নং-</t>
  </si>
  <si>
    <t>২০০৫-০৬
অনুঃ-৯ (জ-২)
পৃষ্ঠা নং-২৬,২৭,
২৮</t>
  </si>
  <si>
    <t xml:space="preserve">নির্ধারিত লক্ষ্যমাত্রার মধ্যে সিস্টেম লস সীমিত রাখতে  ব্যর্থতার কারনে বিপুল পরিমান রাজস্ব ক্ষতি। </t>
  </si>
  <si>
    <t>২০১১-১২
অনুঃ-২(১২)
পৃষ্ঠা নং (পরি)-২৩ হইতে ২৪</t>
  </si>
  <si>
    <t>মন্ত্রণালয়ের নির্দেশ এবং বিদ্যুতের মূল্য্যহার ও নিয়মাবলী উপেক্ষা করে দীর্ঘদিন বিদ্যুৎ বিল পরিশোধ না করা সত্ত্বেও ৬৭ জন গ্রাহকের সংযোগ বিচ্ছিন্ন না করে অনিয়মিতভাবে বিদ্যুৎ ব্যবহারের সুযোগ প্রদান করায় সংস্থার রাজস্ব অনাদায়ী।</t>
  </si>
  <si>
    <t>২০১১-১২
অনুঃ-৭(২)
পৃষ্ঠা নং (পরি)-৮০</t>
  </si>
  <si>
    <t>২০১৭-১৮
অনুঃ-২(৫)</t>
  </si>
  <si>
    <t>বিভিন্ন শ্রেণীর ২৭২ জন গ্রাহকদের নিকট হতে বিদ্যুৎ বিল আদায় না করায় বোর্ডের আর্থিক ক্ষতি।</t>
  </si>
  <si>
    <t>৯২-৯৩
অনুঃ-১৯</t>
  </si>
  <si>
    <t>৯৫-৯৬
অনুঃ-১(৬) 
পৃষ্ঠা নং-১১</t>
  </si>
  <si>
    <t>বিচিছন্নকৃত গ্রাহকদের নিকট বকেয়া।</t>
  </si>
  <si>
    <t>৯৬-৯৭
অনুঃ-৮</t>
  </si>
  <si>
    <t>৯৬-৯৭
অনুঃ ৩(৫) 
পৃষ্ঠা নং-১৪-১৫</t>
  </si>
  <si>
    <t>৯৮-৯৯
অনুঃ-৪</t>
  </si>
  <si>
    <t>৯৮-৯৯
অনুঃ-১১ 
পৃষ্ঠা নং-৪০-৪১</t>
  </si>
  <si>
    <t xml:space="preserve">“সি” শ্রেনীর গ্রাহকদের নিকট বকেয়া। </t>
  </si>
  <si>
    <t>৯৮-৯৯
অনুঃ-২</t>
  </si>
  <si>
    <t>৯৮-৯৯
অনুঃ-২(২)
পৃষ্ঠা নং-১৯</t>
  </si>
  <si>
    <t xml:space="preserve">সিষ্টেমলস। </t>
  </si>
  <si>
    <t>৯৮-৯৯
অনুঃ-৩(৩) 
পৃষ্ঠা নং-২৪-২৭</t>
  </si>
  <si>
    <t xml:space="preserve">বকেয়া বিদ্যুৎ বিল। </t>
  </si>
  <si>
    <t>নির্বাহী প্রকৌশলী, বিক্রয় ও বিতরণ বিভাগ, স্টেডিয়াম, (প্রাক্তন পরিচালন ও সরংক্ষন বিভাগ-১) বিউবো, চট্টগ্রাম।</t>
  </si>
  <si>
    <t>৯৭-৯৯
অনুঃ-৮</t>
  </si>
  <si>
    <t>২০০০-০১ 
অনুঃ-৮(১)
পৃষ্ঠা-১১</t>
  </si>
  <si>
    <t xml:space="preserve">পানি, পয়ঃ ও পৌরকর কর্তন না করায় ক্ষতি। </t>
  </si>
  <si>
    <t>৯৭-৯৯
অনুঃ-৩</t>
  </si>
  <si>
    <t>২০০০-০১
অনুঃ-১(৫) 
পৃষ্ঠা-১১</t>
  </si>
  <si>
    <t>২০০৪-০৫
অনুঃ-৮(চ)
পৃষ্ঠা নং-৫৫,৫৬</t>
  </si>
  <si>
    <t xml:space="preserve">সংযোগ বিচিছন্ন গ্রাহকদের নিকট দীর্ঘদিনের বকেয়া আদায়ের কোন পদক্ষেপ গ্রহণ না করায় অনাদায়ী। </t>
  </si>
  <si>
    <t>৮৭-৮৮
অনুঃ-৪</t>
  </si>
  <si>
    <t>৯১-৯২
অনুঃ-১৮(৪)
পৃষ্ঠা নং-১৬-১৭</t>
  </si>
  <si>
    <t>বাজেট বহির্ভূত ব্যয়।</t>
  </si>
  <si>
    <t>৯৪-৯৫
অনুঃ-৭</t>
  </si>
  <si>
    <t>৯৫-৯৬
অনুঃ-৫(২)
পৃষ্ঠা নং-১৪</t>
  </si>
  <si>
    <t>৯৬-৯৭
অনুঃ-৫(৩) 
পৃষ্ঠা নং-১৬-১৭</t>
  </si>
  <si>
    <t>অস্থায়ী সংযোগ প্রাপ্ত গ্রাহকের নিকট বকেয়া। টাকা-৩,৯২,৫৬১/-</t>
  </si>
  <si>
    <t>নির্বাহী প্রকৌশলী, বিক্রয় ও বিতরণ বিভাগ, হাটহাজারী, (সাবেক নাজিরহাট, রাউজান, রাঙ্গুনিয়া বিদ্যুৎ সরবরাহ, বিউবো, চট্টগ্রাম) বিউবো, চট্টগ্রাম।</t>
  </si>
  <si>
    <t>২০১০-১১
অনুঃ-১০(ঞ-১)
পৃষ্ঠা নং (পরি)-
২৫-২৬</t>
  </si>
  <si>
    <t>২০১০-১১
অনুঃ-৬(৫)
পৃষ্ঠা নং (পরি)-৩৮ হইতে ৪১</t>
  </si>
  <si>
    <t>সংযোগ বিচ্ছিন্ন ২১৬ জন গ্রাহকের নিকট বিদ্যুৎ বিল অনাদায়ী।</t>
  </si>
  <si>
    <t>২০১১-১২
অনুঃ-২(৭)
পৃষ্ঠা নং (পরি)-১৪ হইতে ১৯</t>
  </si>
  <si>
    <t>মন্ত্রণালয়ের নির্দেশ এবং বিদ্যুতের মূল্য্যহার ও নিয়মাবলী উপেক্ষা করে দীর্ঘদিন বিদ্যুৎ বিল পরিশোধ না করা সত্ত্বেও ১০২ জন গ্রাহকের সংযোগ বিচ্ছিন্ন না করে অনিয়মিতভাবে বিদ্যুৎ ব্যবহারের সুযোগ প্রদান করায় সংস্থার রাজস্ব অনাদায়ী।</t>
  </si>
  <si>
    <t>২০১১-১২
অনুঃ-৩(১০)
পৃষ্ঠা নং (পরি)-৫৮ হইতে ৬০</t>
  </si>
  <si>
    <t>সংযোগ বিচ্ছিন্ন ৯৬ জন গ্রাহকের নিকট বিদ্যুৎ বিল অনাদায়জনিত বিউবো’র রাজস্ব ক্ষতি।</t>
  </si>
  <si>
    <t xml:space="preserve">২০১১-১২
অনুঃ নং-
</t>
  </si>
  <si>
    <t xml:space="preserve">২০১২-১৩
অনুঃ-১(১০)
পৃষ্ঠা নং(পর)ি- 
২২ হইতে ২৩
</t>
  </si>
  <si>
    <t>দীর্ঘ দিন বিদ্যুৎ বিল পরিশোধ না করা সত্ত্বেও ৩৫ জন গ্রাহকের সংযোগ বিচ্ছিন্ন না করে অনিয়মিতভাবে বিদ্যুৎ ব্যবহারের সুযোগ প্রদান করায় ৭২,৩৩,৬৭৭/- টাকা অনাদায়ী।</t>
  </si>
  <si>
    <t>৮৬-৮৭
অনুঃ-১</t>
  </si>
  <si>
    <t>৯১-৯২
অনুঃ-১১(১)
পৃষ্ঠা নং-১২-১৩</t>
  </si>
  <si>
    <t>৯১-৯২
অনুঃ-৫(৩)
পৃষ্ঠা নং-৭-৮</t>
  </si>
  <si>
    <t>৮৫-৮৭
অনুঃ-১</t>
  </si>
  <si>
    <t>৯১-৯২
অনুঃ-৫(৪)
পৃষ্ঠা নং-৭-৮</t>
  </si>
  <si>
    <t>৯৭-৯৮
অনুঃ-১</t>
  </si>
  <si>
    <t xml:space="preserve">৯৭-৯৮
অনু:-১(২)
পৃষ্ঠা নং-১১ </t>
  </si>
  <si>
    <t xml:space="preserve">পল্লী বিদ্যুৎ সমিতির নিকট পাওনা। </t>
  </si>
  <si>
    <t>৯২-৯৮
অনুঃ-৭</t>
  </si>
  <si>
    <t>৯৭-৯৮
অনুঃ-১০(৩)
পৃষ্ঠা নং-২১</t>
  </si>
  <si>
    <t>মৃত গ্রাহকদের নিকট  বিদ্যুৎ বিল অনাদায়ী।</t>
  </si>
  <si>
    <t>৯২-৯৮
অনুঃ-৬</t>
  </si>
  <si>
    <t>৯৭-৯৮
অনুঃ-৮
পৃষ্ঠা নং-১৮-১৯</t>
  </si>
  <si>
    <t xml:space="preserve">অনিয়মিত ভাবে ভ্রমন ভাতা পরিশোধ। </t>
  </si>
  <si>
    <t>নির্বাহী প্রকৌশলী, বিক্রয় ও বিতরণ বিভাগ, হালিশহর, বিউবো, ( সাবেক পরিচালন ও সংরক্ষন বিভাগ-৪, আগ্রাবাদ) চট্টগ্রাম।</t>
  </si>
  <si>
    <t>২০০০-০১ 
অনুঃ-১(২)
পৃষ্ঠা নং-১১</t>
  </si>
  <si>
    <t>২০০৪-০৫
অনুঃ-১৩(ঝ)
পৃষ্ঠা নং-৯৩,৯৪,
৯৫</t>
  </si>
  <si>
    <t>২০০৪-০৫
অনুঃ-৮(ছ)
পৃষ্ঠা নং-৫৭,৫৮</t>
  </si>
  <si>
    <t>২০১১-১২
অনুঃ-২(১৫)
পৃষ্ঠা নং (পরি)-২৯ হইতে ৩২</t>
  </si>
  <si>
    <t>মন্ত্রণালয়ের নির্দেশ এবং বিদ্যুতের মূল্য্যহার ও নিয়মাবলী উপেক্ষা করে দীর্ঘদিন বিদ্যুৎ বিল পরিশোধ না করা সত্ত্বেও ১৩৪ জন গ্রাহকের সংযোগ বিচ্ছিন্ন না করে অনিয়মিতভাবে বিদ্যুৎ ব্যবহারের সুযোগ প্রদান করায় সংস্থার রাজস্ব অনাদায়ী।</t>
  </si>
  <si>
    <t>২০১১-১২
অনুঃ-৫(৬)
পৃষ্ঠা নং (পরি)-৭৪ হইতে ৭৫</t>
  </si>
  <si>
    <t xml:space="preserve">নির্ধারিত লক্ষ্য মাত্রার মধ্যে সিস্টেম লস সীমিত রাখতে
ব্যর্থতার দরুন সরকারের আর্থিক ক্ষতি। </t>
  </si>
  <si>
    <t>২০১১-১২
অনুঃ-৬(৪)
পৃষ্ঠা নং (পরি)-৭৯</t>
  </si>
  <si>
    <t>৯৫-৯৬
অনুঃ-৬(১)
পৃষ্ঠা নং-১৪</t>
  </si>
  <si>
    <t>মালামাল ঘাটতি।</t>
  </si>
  <si>
    <t>৯৪-৯৭
অনুঃ-৬</t>
  </si>
  <si>
    <t>৯৭-৯৮
অনুঃ ১১(৪)
পৃষ্ঠা নং-২২</t>
  </si>
  <si>
    <t>৯৪-৯৭
অনুঃ-৫</t>
  </si>
  <si>
    <t>৯৭-৯৮
অনুঃ-১০(১)
পৃষ্ঠা নং-২১</t>
  </si>
  <si>
    <t xml:space="preserve">নির্বাহী প্রকৌশলী, বিক্রয় ও বিতরন বিভাগ, মোহরা, (নজুমিয়ারহাট বিদ্যুৎ সরবরাহ) বিউবো, চট্টগ্রাম। </t>
  </si>
  <si>
    <t>২০০৮-০৯
অনুঃ নং-৩</t>
  </si>
  <si>
    <t>২০০৯-১০
অনুঃ-১১(৪)
পৃষ্ঠা নং (পরি)-২৬ ও ২৭</t>
  </si>
  <si>
    <t>মন্ত্রণালয়ের নির্দেশ এবং বিদ্যুতের মূল্য্যহার ও নিয়মাবলী উপেক্ষা করে দীর্ঘদিন বিদ্যুৎ বিল পরিশোধ না করা সত্ত্বেও গ্রাহকের সংযোগ বিচ্ছিন্ন না করে বিদ্যুৎ ব্যবহারের সুযোগ প্রদান করায় সংস্থার টাকা অনাদায়ী।</t>
  </si>
  <si>
    <t xml:space="preserve">পরিচালন ও সংরক্ষন সার্কেল, চট্টগ্রাম (উত্তর), বিউবো, চট্টগ্রাম। </t>
  </si>
  <si>
    <t>৮৭-৯০
অনুঃ-৩</t>
  </si>
  <si>
    <t>৯৪-৯৫
অনুঃ-১(৩)
পৃষ্ঠা নং-৯-১০</t>
  </si>
  <si>
    <t xml:space="preserve">মহার্ঘ ভাতার উপর বকেয়া বাড়ী ভাড়া পরিশোধ। </t>
  </si>
  <si>
    <t xml:space="preserve">পরিচালন ও সংরক্ষন সার্কেল, চট্টগ্রাম (পশ্চিম), বিউবো, চট্টগ্রাম। </t>
  </si>
  <si>
    <t>২০১৭-১৮
অনুঃ-৩(৮)</t>
  </si>
  <si>
    <t xml:space="preserve">পরিচালন ও সংরক্ষন সার্কেল, চট্টগ্রাম (পূর্ব), বিউবো, চট্টগ্রাম। </t>
  </si>
  <si>
    <t>৮৬-৮৭
অনুঃ-২</t>
  </si>
  <si>
    <t>৯১-৯২
অনুঃ-১৭
পৃষ্ঠা নং-১৬</t>
  </si>
  <si>
    <t>৯১-৯২
অনুঃ-৮
পৃষ্ঠা নং-১০</t>
  </si>
  <si>
    <t>প্রকল্প পরিচালক, বৃহত্তর চট্টগ্রাম বিদ্যুৎ বিতরণ প্রকল্প ফেজ-৩” (কে এফ এ ই ডি - ঋণ নং-৫৯৭ এর আওতায় “)</t>
  </si>
  <si>
    <t>২০০২-০৩</t>
  </si>
  <si>
    <t>২০০৩-০৪
অনু-০৫
পৃষ্ঠা নং-৬</t>
  </si>
  <si>
    <t>টেন্ডার সিডিউল ও ষ্টীল পোল বিক্রয়লব্ধ অর্থ এবং ব্যাংক প্রদত্ত সুদের অর্থ সরকারী কোষাগারে জমা না করায় সরকারের রাজস্ব ক্ষতি ১ কোটি ২৪ লক্ষ টাকা।</t>
  </si>
  <si>
    <t xml:space="preserve">প্রধান প্রকৌশলী, বিতরণ (দক্ষিনাঞ্চল) বিউবো, চট্টগ্রাম। </t>
  </si>
  <si>
    <t>৯১-৯২
অনুঃ-১৯
পৃষ্ঠা নং-১৮</t>
  </si>
  <si>
    <t>৮৫-৯১
অনুঃ-৩</t>
  </si>
  <si>
    <t>৯৪-৯৫
অনুঃ-১(৪)
পৃষ্ঠা নং-৯-১০</t>
  </si>
  <si>
    <t>৯৬-৯৯
অনুঃ-১</t>
  </si>
  <si>
    <t>৯৮-৯৯
অনুঃ-১৩ 
পৃষ্ঠা নং-৪৯</t>
  </si>
  <si>
    <t>নির্ধারিত সময়ে কার্য সম্পাদনে ব্যর্থ ঠিকাদারের নিকট হইতে ক্ষতি পুরন আদায় না করায় বোর্ডের ক্ষতি।</t>
  </si>
  <si>
    <t xml:space="preserve">বিতরণ বিভাগ, পটিয়া, (আনোয়ারা বিদ্যুৎ সরবরাহ, বিউবো, চট্টগ্রাম) বিউবো, চট্টগ্রাম। </t>
  </si>
  <si>
    <t>৯১-৯২
অনু-৪
পৃষ্ঠা নং-৬</t>
  </si>
  <si>
    <t>৮৭-৮৮
অনুঃ-৯</t>
  </si>
  <si>
    <t>৯১-৯২
অনুঃ-১৮(৩)
পৃষ্ঠা নং-১৬-১৭</t>
  </si>
  <si>
    <t>৯১-৯২
অনুঃ-২
পৃষ্ঠা নং-৫</t>
  </si>
  <si>
    <t>৯১-৯২
অনুঃ-৫(১)
পৃষ্ঠা নং-৭-৮</t>
  </si>
  <si>
    <t>৯৭-৯৮
অনুঃ-৩</t>
  </si>
  <si>
    <t>৯৭-৯৮
অনুঃ-১১(৬)
পৃঃ-২২</t>
  </si>
  <si>
    <t>৯৭-৯৮
অনুঃ-৫
র্পষ্ঠা নং-১৫-১৬</t>
  </si>
  <si>
    <t xml:space="preserve">প্রয়োজন অপেক্ষা ঠিকাদারকে অধিক তার সরবরাহ। </t>
  </si>
  <si>
    <t>৯৭-৯৮
অনুঃ-৪</t>
  </si>
  <si>
    <t>৯৭-৯৮
অনুঃ-৭
পৃঃ-১৭</t>
  </si>
  <si>
    <t>সারচার্জ অনাদায়ী।</t>
  </si>
  <si>
    <t>৯৮-৯৯
অনুঃ-১</t>
  </si>
  <si>
    <t>৯৮-৯৯
অনুঃ-২(৩)
পৃষ্ঠা নং-১৯</t>
  </si>
  <si>
    <t>৯৮-৯৯
অনুঃ-৭</t>
  </si>
  <si>
    <t xml:space="preserve">৯৮-৯৯
অনুঃ-৯
পৃষ্ঠা নং-৩৭-৩৮
</t>
  </si>
  <si>
    <t xml:space="preserve">সরকারী ও আধাসরকারী প্রতিষ্ঠানের নিকট পাওনা। </t>
  </si>
  <si>
    <t>বৃহত্তর চট্টগ্রাম বিবি-প্রকল্প, বিউবো, হালিশহর, চট্টগ্রাম।
ফাফাড</t>
  </si>
  <si>
    <t>৯৫-৯৬
অনুঃ-১</t>
  </si>
  <si>
    <t>৯৫-৯৬
 অনুঃ-৬(২)
পৃষ্ঠা নং-১৪</t>
  </si>
  <si>
    <t xml:space="preserve">ব্যবস্থাপক,
দোহাজারী ১০০ মেঃ ওঃ পিকিং বিদ্যুৎ কেন্দ্র,
বিউবো, চট্টগ্রাম। </t>
  </si>
  <si>
    <t xml:space="preserve">২০০৯-১০ হতে ২০১১-২০১২ অনুঃ নং-	</t>
  </si>
  <si>
    <t>২০১২-২০১৩
অনুঃ- ১০</t>
  </si>
  <si>
    <t>নির্ধারিত তারিখে প্লান্টের Initial Commercial Operation (ICO) অর্জনে ব্যর্থ হওয়ায় চুক্তিপত্র অনুযায়ী বিলম্বিত সময়ের জন্য Liquidated Damage (LD) আরোপ এবং আদায় না করায় ক্ষতি ৩৩২,৮৩,২০,১৪৫ টাকা।</t>
  </si>
  <si>
    <t xml:space="preserve">ব্যবস্থাপক,
হাটহাজারী ১০০ মেঃ ওঃ পিকিং বিদ্যুৎ কেন্দ্র,
বিউবো, চট্টগ্রাম। </t>
  </si>
  <si>
    <t>নির্ধারিত তারিখে প্লান্টের  Initial Commercial Operation (ICO) অর্জনে ব্যর্থ হওয়ায় চুক্তিপত্র অনুযায়ী বিলম্বিত সময়ের জন্য Liquidated Damage (LD) আরোপ এবং আদায় না করায় ক্ষতি ৩৩২,৮৩,২০,১৪৫ টাকা।</t>
  </si>
  <si>
    <t xml:space="preserve">সম্প্রসারন বিভাগ-১, চট্টগ্রাম (বর্তমানে বিবি-১, বৃহত্তর চট্টগ্রাম বিবি প্রকল্প) বিউবো, চট্টগ্রাম। </t>
  </si>
  <si>
    <t>৯৩-৯৬
অনুঃ-৫</t>
  </si>
  <si>
    <t>৯৫-৯৬
অনুঃ-৩(৬)
পৃষ্ঠা নং-১২-১৩</t>
  </si>
  <si>
    <t>সন্দীপ বিদ্যুৎ সরবরাহ, বিউবো, চট্টগ্রাম।</t>
  </si>
  <si>
    <t>৯৬-৯৯
অনুঃ-৮</t>
  </si>
  <si>
    <t>২০০০-০১
অনুঃ-২(৪)
পৃষ্ঠা-২৫</t>
  </si>
  <si>
    <t>কুতুবদিয়া বিদ্যুৎ সরবরাহ, বিউবো, কক্সবাজার।</t>
  </si>
  <si>
    <t>৯৮-২০০০
অনুঃ-১</t>
  </si>
  <si>
    <t>২০০০-০১
 অনুঃ-৬
পৃষ্ঠা-৪৭</t>
  </si>
  <si>
    <t xml:space="preserve">আবাসিক প্রকৌশলী কর্তৃক বোর্ডের মালামাল আÍসাৎ। </t>
  </si>
  <si>
    <t>নির্বাহী প্রকৌশলী, বিক্রয় ও বিতরণ বিভাগ,  বিউবো, কক্সবাজার।</t>
  </si>
  <si>
    <t>২০১০-১১
অনুঃ-৬(৭)
পৃষ্ঠা নং (পরি)-৪৫</t>
  </si>
  <si>
    <t>সংযোগ বিচ্ছিন্ন ৪০ জন গ্রাহকের নিকট বিদ্যুৎ বিল অনাদায়ী।</t>
  </si>
  <si>
    <t>২০০৪-০৫
অনুঃ-৮(জ)
পৃষ্ঠা নং-৫৯,৬০</t>
  </si>
  <si>
    <t>৯৭-৯৮ 
অনুঃ-১১(১০)
পৃষ্ঠা নং-২৩</t>
  </si>
  <si>
    <t>৯৬-৯৭
অনুঃ-৫</t>
  </si>
  <si>
    <t>৯৭-৯৮
অনুঃ-২(২)
পৃষ্ঠা নং-১২</t>
  </si>
  <si>
    <t>৯৬-২০০০
অনুঃ-৫</t>
  </si>
  <si>
    <t>৯৯-২০০০
অনুঃ-১(৩)
পৃষ্ঠা নং-৯</t>
  </si>
  <si>
    <t>ম্যানেজার,
কাপ্তাই পানি বিদ্যুৎ উৎপাদন কেন্দ্র, রাঙ্গামাটি।</t>
  </si>
  <si>
    <t>২০০৯-১০
অনুঃ-৮
পৃষ্ঠা নং (পরি)-১৩</t>
  </si>
  <si>
    <t>জেটি ঘাট ইজারার টাকা অনাদায়ে বোর্ডের রাজস্ব ক্ষতি।
৬৮,৪০,৬৪৯.০০</t>
  </si>
  <si>
    <t>৮৩-৮৪_x000D_
অনুঃ-১</t>
  </si>
  <si>
    <t xml:space="preserve">৮৭-৮৮
 অনুঃ-৮৭(১৭)
</t>
  </si>
  <si>
    <t xml:space="preserve">ভাড়া বকেয়া। </t>
  </si>
  <si>
    <t>নির্বাহী প্রকৌশলী, বিক্রয় ও বিতরণ বিভাগ, বিউবো, রাঙ্গামাটি।</t>
  </si>
  <si>
    <t>৮৩-৮৪_x000D_
অনুঃ-২</t>
  </si>
  <si>
    <t xml:space="preserve">৮৬-৮৭
অনুঃ-৯৬(৩৮)
</t>
  </si>
  <si>
    <t>২০১০-১১
অনুঃ-৬(৮)
পৃষ্ঠা নং (পরি)-৪৬</t>
  </si>
  <si>
    <t>সংযোগ বিচ্ছিন্ন ৪৭ জন গ্রাহকের নিকট বিদ্যুৎ বিল অনাদায়ী।</t>
  </si>
  <si>
    <t>২০০৪-০৫ হতে 
২০০৯-১০
অনুঃ নং-</t>
  </si>
  <si>
    <t>২০১০-১১
অনুঃ-১
পৃষ্ঠা নং (পরি)-৩</t>
  </si>
  <si>
    <t>বাংলাদেশ বিদ্যুৎ উন্নয়ন বোর্ডের সিডিউল বহির্ভূত আইটেমসমূহবাজার দর যাচাই না করে ক্রয় করায় ২টি আইটেমে অতিরিক্ত পরিশোধজনিত ক্ষতি।</t>
  </si>
  <si>
    <t>২০১০-১১
অনুঃ-৩(১)
পৃষ্ঠা নং (পরি)-১৫, ১৬, ১৭ ও ১৮</t>
  </si>
  <si>
    <t>নিখোঁজ ১৭৭ জন গ্রাহকের নিকট অনাদায়জনিত সরকারের রাজস্ব ক্ষতি।</t>
  </si>
  <si>
    <t>নির্বাহী প্রকৌশলী, বিক্রয় ও বিতরণ বিভাগ আশুগঞ্জ , বি-বাড়ীয়া</t>
  </si>
  <si>
    <t>৯১-৯৪
অনুঃ-২</t>
  </si>
  <si>
    <t>৯৫-৯৬
অনুঃ-১(৭)
 পৃষ্ঠা-১১।</t>
  </si>
  <si>
    <t>৯১-৯৪
অনুঃ-৩</t>
  </si>
  <si>
    <t>৯৫-৯৬
অনুঃ-১৯
পৃষ্ঠা নং-২০</t>
  </si>
  <si>
    <t>সেচ প্রকল্পে অবৈধভাবে বিদ্যুৎ ব্যবহার ।</t>
  </si>
  <si>
    <t>৯১-৯৪
অনুঃ-৫</t>
  </si>
  <si>
    <t>৯৫-৯৬
অনুঃ-৩(৯)
পৃষ্ঠা নং-১২-১৩</t>
  </si>
  <si>
    <t>নির্বাহী প্রকৌশলী, বিক্রয় ও বিতরণ বিভাগ-১, বিউবো, বি-বাড়ীয়া।</t>
  </si>
  <si>
    <t>৯১-৯২
 অনুঃ-৩
পৃষ্ঠা নং-৬</t>
  </si>
  <si>
    <t>২০০২-০৩
অনুঃ-২</t>
  </si>
  <si>
    <t xml:space="preserve">২০০২-০৩
অনুঃ-১৬
পৃষ্ঠা নং-৫৩
</t>
  </si>
  <si>
    <t>বিদ্যুৎ লাইন মেরামত কাজে বিভাগীয় ভান্ডার হতে প্রয়োজনের অতিরিক্ত তার ইস্যু করায় ক্ষতি।</t>
  </si>
  <si>
    <t>৯৬-৯৭
অনুঃ-১</t>
  </si>
  <si>
    <t>৯৬-৯৭
অনুঃ-১১
পৃষ্ঠা নং-১৯-২০</t>
  </si>
  <si>
    <t>মালামাল পরিবহনের ক্ষেত্রে ঠিকাদারকে অতিরিক্ত পরিশোধ।</t>
  </si>
  <si>
    <t>৯৬-৯৭
অনুঃ-৪(৬)
পৃষ্ঠা নং-১৫-১৬</t>
  </si>
  <si>
    <t>বিচিছন্নকৃত গ্রাহকদের নিকট অনাদায়ী।</t>
  </si>
  <si>
    <t>৯৭-৯৮
অনুঃ-১০(২)
পৃষ্ঠা নং-২১</t>
  </si>
  <si>
    <t>৮৩-৮৪
অনুঃ-১</t>
  </si>
  <si>
    <t xml:space="preserve">৮৬-৮৭
অনুঃ-৯৬(১৯)
</t>
  </si>
  <si>
    <t xml:space="preserve">বৈদ্যুতিক মালামাল চুরি। </t>
  </si>
  <si>
    <t>২০০৪-০৫
অনুঃ-১৩(ক)
পৃষ্ঠা নং-৭৯,
৮০,৮১,৮২,
৮৩,৮৪</t>
  </si>
  <si>
    <t>২০০৪-০৫
অনুঃ নং-৪</t>
  </si>
  <si>
    <t>২০০৪-০৫
অনুঃ-৮(গ)
পৃষ্ঠা নং-৪৯,
৫০,৫১</t>
  </si>
  <si>
    <t>৯১-৯২ 
অনুঃ-১১(২)
পৃষ্ঠা নং-১২-১৩</t>
  </si>
  <si>
    <t>৯৪-৯৬
অনুঃ-২</t>
  </si>
  <si>
    <t>৯৫-৯৬
অনুঃ-১২
পৃষ্ঠা নং-১৭</t>
  </si>
  <si>
    <t xml:space="preserve">ঠিকাদার হইতে ক্ষতিপূরণ আদায়যোগ্য। </t>
  </si>
  <si>
    <t>৯৪-৯৬
অনুঃ-৮</t>
  </si>
  <si>
    <t>৯৫-৯৬
অনুঃ-৪(৩)
পৃষ্ঠা নং-১৩</t>
  </si>
  <si>
    <t>৯৭-৯৮
অনুঃ- ২(৬)
পৃষ্ঠা নং-১২</t>
  </si>
  <si>
    <t>৯৬-৯৮
অনুঃ-৩</t>
  </si>
  <si>
    <t>৯৭-৯৮
অনুঃ-৩
পৃষ্ঠা নং-১৪</t>
  </si>
  <si>
    <t>উদ্বৃত্ত মালামাল ঠিকাদার হইতে আদায়যোগ্য।</t>
  </si>
  <si>
    <t>৯৬-৯৭
অনুঃ-৪</t>
  </si>
  <si>
    <t>৯৭-৯৮
অনুঃ-৯
পৃষ্ঠা নং-১৯-২০</t>
  </si>
  <si>
    <t>আবাসিক প্রকৌশলী, চৌদ্দগ্রাম বিদ্যুৎ সরবরাহ, বিউবো, কুমিল্লা</t>
  </si>
  <si>
    <t>২০০২-০৩
অনুঃ-৮</t>
  </si>
  <si>
    <t>২০০২-০৩
অনুঃ-১৩
পৃষ্ঠা নং-৪৭</t>
  </si>
  <si>
    <t>ই-শ্রেনীর গ্রাহক এর নিকট হতে বকেয়া বিদ্যুৎ বিল, ভ্যাট ও সারচার্জ অনাদায়ী।</t>
  </si>
  <si>
    <t>আবাসিক প্রকৌশলী, বুড়িচং বিদ্যুৎ সরবরাহ, বিউবো, কুমিল্লা</t>
  </si>
  <si>
    <t>৮৯-৯১
অনুঃ-১</t>
  </si>
  <si>
    <t>৯৪-৯৫
অনুঃ-২
পৃষ্ঠা নং-১১</t>
  </si>
  <si>
    <t>নির্বাহী প্রকৌশলী, নির্মাণ বিভাগ-৮, ১৮ শহর বিদ্যুৎ বিতরণ প্রকল্প, কুমিল্লা</t>
  </si>
  <si>
    <t>২০০৩-০৪
অনুঃ-২২
পৃষ্ঠা নং-৯০</t>
  </si>
  <si>
    <t>সিডিউল বহির্ভূত আইটেমের বিপরীতে অর্থ পরিশোধ।</t>
  </si>
  <si>
    <t>২০০৩-০৪
অনুঃ নং-৩</t>
  </si>
  <si>
    <t>২০০৩-০৪
অনুঃ-১৯(ক) 
পৃষ্ঠা নং-৮১</t>
  </si>
  <si>
    <t>“এফ” শ্রেনীর গ্রাহকের নিকট শুন্য ইউনিটের বিল করায় ক্ষতি।</t>
  </si>
  <si>
    <t>২০১১-১২
অনুঃ-৩(৮)
পৃষ্ঠা নং (পরি)-৫৫ হইতে ৫৬</t>
  </si>
  <si>
    <t>সংযোগ বিচ্ছিন্ন ৪৩ জন গ্রাহকের নিকট বিদ্যুৎ বিল অনাদায়জনিত বিউবো’র রাজস্ব ক্ষতি।</t>
  </si>
  <si>
    <t xml:space="preserve">৯১-৯২
অনুঃ-২১
পৃষ্ঠা নং-১৮
</t>
  </si>
  <si>
    <t>৯৫-৯৬
অনুঃ-৭(ক,খ)</t>
  </si>
  <si>
    <t>৯৭-৯৮
অনুঃ-২(১)
পৃষ্ঠা নং-১২</t>
  </si>
  <si>
    <t>২০১১-১২
অনুঃ-২(১১)
পৃষ্ঠা নং (পরি)-২১ হইতে ২২</t>
  </si>
  <si>
    <t>মন্ত্রণালয়ের নির্দেশ এবং বিদ্যুতের মূল্য্যহার ও নিয়মাবলী উপেক্ষা করে দীর্ঘদিন বিদ্যুৎ বিল পরিশোধ না করা সত্ত্বেও ৫৯ জন গ্রাহকের সংযোগ বিচ্ছিন্ন না করে অনিয়মিতভাবে বিদ্যুৎ ব্যবহারের সুযোগ প্রদান করায় সংস্থার রাজস্ব অনাদায়ী।</t>
  </si>
  <si>
    <t>২০১১-১২
অনুঃ-৫(৫)
পৃষ্ঠা নং (পরি)-৭৩</t>
  </si>
  <si>
    <t>২০১১-১২
অনুঃ-২(১৩)
পৃষ্ঠা নং (পরি)-২৫ হইতে ২৬</t>
  </si>
  <si>
    <t>মন্ত্রণালয়ের নির্দেশ এবং বিদ্যুতের মূল্য্যহার ও নিয়মাবলী উপেক্ষা করে দীর্ঘদিন বিদ্যুৎ বিল পরিশোধ না করা সত্ত্বেও ৪০ জন গ্রাহকের সংযোগ বিচ্ছিন্ন না করে অনিয়মিতভাবে বিদ্যুৎ ব্যবহারের সুযোগ প্রদান করায় সংস্থার রাজস্ব অনাদায়ী।</t>
  </si>
  <si>
    <t xml:space="preserve">ব্যবস্থাপক,তিতাস ৫০ মেঃ ওঃ পিকিং বিদ্যুৎ কেন্দ্র,বিউবো, কুমিল্লা। </t>
  </si>
  <si>
    <t>২০১২-২০১৩
অনুঃ- ১১</t>
  </si>
  <si>
    <t>সর্বোচ্চ অনুমোদিত আউটেজের অতিরিক্ত আউটেজ/আনসিডিউল শাটডাউন ও অতিরিক্ত ট্রিপিং এর জন্য চুক্তি মোতাবেক ৩টি প্লান্টের জরিমানা আরোপ এবং আদায় না করায় ক্ষতি ৪৭,৩৫,৫৬,৯৬৩ টাকা।</t>
  </si>
  <si>
    <t>২০০৪-০৫
অনুঃ নং-১</t>
  </si>
  <si>
    <t>২০০৪-০৫
অনুঃ-৭(থ)
পৃষ্ঠা নং-৪৩</t>
  </si>
  <si>
    <t>২০০৫-০৬
অনুঃ নং-</t>
  </si>
  <si>
    <t>২০০৫-০৬
অনুঃ-৯ (জ-১)
পৃষ্ঠা নং-২৫</t>
  </si>
  <si>
    <t>বিদ্যুৎ শক্তির অপচয়ের মাধ্যমে বিউবোর আর্থিক ক্ষতি।</t>
  </si>
  <si>
    <t>৯৬-২০০০
অনুঃ-২(ক)</t>
  </si>
  <si>
    <t>৯৯-২০০০
অনুঃ-১(৪)
পৃষ্ঠা নং- ৯</t>
  </si>
  <si>
    <t>৯৬-৯৮
অনুঃ-৪</t>
  </si>
  <si>
    <t>৯৮-৯৯
অনুঃ-১(৪)
পৃষ্ঠা নং-১১</t>
  </si>
  <si>
    <t>বিক্রয় ও বিতরণ বিভাগ, বিউবো, লক্ষীপুর</t>
  </si>
  <si>
    <t>২০০২-০৩
অনুঃ-১</t>
  </si>
  <si>
    <t>২০০২-০৩
অনুঃ-৮(ঙ)
পৃষ্ঠা নং-২৬</t>
  </si>
  <si>
    <t>৯৬-৯৯
অনুঃ-৩</t>
  </si>
  <si>
    <t>৯৮-৯৯
অনুঃ-১(২)
পৃষ্ঠা নং-১১</t>
  </si>
  <si>
    <t>বিতরণ বিভাগ,  বিউবো, নোয়াখালী।</t>
  </si>
  <si>
    <t xml:space="preserve">২০০৩-০৪
অনুঃ-১৬(গ)
পৃষ্ঠা নং-৬৪ </t>
  </si>
  <si>
    <t>২০০৩-০৪
অনুঃ নং-৭</t>
  </si>
  <si>
    <t>২০০৩-০৪
অনুঃ-২০(খ)
পৃষ্ঠা নং- ৮৭,৮৮</t>
  </si>
  <si>
    <t>কর্মচারীগণকে অধিকাল ভাতা প্রদান।</t>
  </si>
  <si>
    <t>২০০৯-১০
অনুঃ নং-২</t>
  </si>
  <si>
    <t>২০১০-১১
অনুঃ-৬(১১)
পৃষ্ঠা নং (পরি)-৫০ হইতে ৫২</t>
  </si>
  <si>
    <t>সংযোগ বিচ্ছিন্ন ১২৮ জন গ্রাহকের নিকট বিদ্যুৎ বিল অনাদায়ী।</t>
  </si>
  <si>
    <t>১০ শহর বিদ্যুৎ বিতরণ ব্যবস্থা উন্নয়ন প্রকল্প।</t>
  </si>
  <si>
    <t>২০০৫-০৬</t>
  </si>
  <si>
    <t>২০০৫-০৬
অনুঃ-০৭
পৃষ্ঠা নং-১৭</t>
  </si>
  <si>
    <t>জিওবি খাতের ১১ লক্ষ টাকা সরকারী হিসাবে জমা করা হয়নি।</t>
  </si>
  <si>
    <t xml:space="preserve">১৬ শহর বিদ্যুৎ বিতরণ প্রকল্প।_x000D_
</t>
  </si>
  <si>
    <t>৯৫-৯৬
অনুঃ-২.০১</t>
  </si>
  <si>
    <t>৯৫-৯৬
অনুঃ নং-২
পৃষ্ঠা নং-৭</t>
  </si>
  <si>
    <t>অপরিকল্পিত ভাবে যানবাহনের যন্ত্রাংশ ক্রয়ের মাধ্যমে ব্যয়জনিত আর্থিক অনিয়ম।</t>
  </si>
  <si>
    <t xml:space="preserve">২১০ মেঃ ওঃ ঘোড়াশাল তাপ বিদ্যুৎ কেন্দ্র, নির্মাণ প্রকল্প (5th ইউনিট)।
</t>
  </si>
  <si>
    <t>৮৮-৮৯
অনুঃ ২.০২</t>
  </si>
  <si>
    <t xml:space="preserve">৮৮-৮৯
অনুঃ ২.০২
</t>
  </si>
  <si>
    <t>মালামাল সরবরাহ ছাড়াই বিল পরিশোধ</t>
  </si>
  <si>
    <t>৯ শহর বিদ্যুৎ বিতরণ প্রকল্প।</t>
  </si>
  <si>
    <t>২০০৪-০৫</t>
  </si>
  <si>
    <t>২০০৫-০৬
অনুঃ-০৫
পৃষ্ঠা নং-১৫</t>
  </si>
  <si>
    <t>পিপি বহির্ভূত ওভারহেড চার্জ বাবদ ৩ কোটি ২ লক্ষ টাকা অনিয়মিত খরচ।</t>
  </si>
  <si>
    <t xml:space="preserve">৯ শহর বিদ্যুৎ বিতরণ প্রকল্প। </t>
  </si>
  <si>
    <t>২০০৫-০৬
অনুঃ-০২
পৃষ্ঠা নং-১২</t>
  </si>
  <si>
    <t>পিপিআর-২০০৩ বিধি/শর্ত লঘনের মাধ্যমে ৮ কোটি ৫৯ লক্ষ খরচ করা হয়েছে।</t>
  </si>
  <si>
    <t>ইস্টজোন পাওয়ার ডিষ্টিবিউশন প্রকল্প। (বর্তমানে পরিচালক কার্যক্রম, পরিদপ্তর, বিউবো, ঢাকা।) ফাফাড</t>
  </si>
  <si>
    <t>৮৫-৮৬
অনুঃ-২.০২</t>
  </si>
  <si>
    <t>৯৪-৯৫
অনুঃ-২
পৃষ্ঠা নং-৭</t>
  </si>
  <si>
    <t>বিলেম্ব মালামাল খালাসের দরুন ঘাটমাসুল প্রদান করায় ক্ষতি।</t>
  </si>
  <si>
    <t>৮৫-৮৬
অনুঃ-২.০৬</t>
  </si>
  <si>
    <t>৯৪-৯৫
অনুঃ-৫
পৃষ্ঠা+ নং-১০</t>
  </si>
  <si>
    <t>যথাযথ কর্তৃপক্ষের অনুমোদন ব্যতীত পিপি বহির্ভূত অনিয়মিত ভাবে খরচ জনিত ক্ষতি।</t>
  </si>
  <si>
    <t>২০১৭-১৮
অনুঃ-৩(২)</t>
  </si>
  <si>
    <t>৯২-৯৪
অনুঃ-১</t>
  </si>
  <si>
    <t>৯৫-৯৬
অনুঃ-২২
পৃষ্ঠা নং-২১</t>
  </si>
  <si>
    <t>বিধি বহির্ভূত ভাবে উপদেষ্টা নিয়োগ।</t>
  </si>
  <si>
    <t>২০০৩-০৪
অনুঃ-২৩(গ)
পৃষ্ঠা নং-৯৪</t>
  </si>
  <si>
    <t>এম, এস, রড বাবদ অতিরিক্ত পরিশোধ।</t>
  </si>
  <si>
    <t>২০০৩-০৪
অনুঃ নং-৬</t>
  </si>
  <si>
    <t>২০০৩-০৪
অনুঃ-২৩(ঘ)
পৃষ্ঠা নং-৯৫</t>
  </si>
  <si>
    <t>আর, সি, সি, ঢালাই ও এম এস রড বাবদ অতিরিক্ত পরিশোধ।</t>
  </si>
  <si>
    <t>২০১৭-১৮ অনুঃ-৩(৪)</t>
  </si>
  <si>
    <t>পরিচালক সম্পত্তি ও যানবাহন পরিদপ্তর
বিউবো, ঢাকা।</t>
  </si>
  <si>
    <t>২০১৭-১৮ অনুঃ-৬</t>
  </si>
  <si>
    <t>বিউবো’র বিদ্যুৎ ভবনের ১৪ তলার ৮৬০০ বর্গফুট জায়গার ভাড়া এবং ৩টি কার পার্কিং স্থানের ভাড়া অনাদায়ী থাকায় বোর্ডের আর্থিক ক্ষতি।</t>
  </si>
  <si>
    <t xml:space="preserve">পরিচালক
অর্থ পরিদপ্তর,
বিউবো, ঢাকা। </t>
  </si>
  <si>
    <t>২০১২-২০১৩
অনুঃ- ১৪</t>
  </si>
  <si>
    <t>টার্ণ-কী  (Turn Key) ভিত্তিতে বিদ্যুৎ কেন্দ্র উৎপাদন কাজে নিয়োজিত ঠিকাদারের বিল হতে আয়কর ও ভ্যাট কম কর্তন করায় সরকারের রাজস্ব ক্ষতি ৪২৪,১৩,২৮,৩৫৭ টাকা।</t>
  </si>
  <si>
    <t>পরিচালক
ক্রয় পরিদপ্তর
ওয়াপদা ভবন, মতিঝিল, ঢাকা।</t>
  </si>
  <si>
    <t>২০০৮-০৯
অনুঃ নং-</t>
  </si>
  <si>
    <t>২০০৯-১০
অনুঃ-৪
পৃষ্ঠা নং (পরি)-১০</t>
  </si>
  <si>
    <t>পিপিআর-২০০৮ এর বিধান লংঘন করে যথাযথ কর্তৃপক্ষের অনুমোদন এড়ানোর জন্য একটি প্রাক্কলনে বাস্তবায়নযোগ্য কাজকে একাধিক প্রাক্কলনে বিভক্ত করে কার্য সম্পাদন ও বিল পরিশোধ করায় অনিয়মিত ব্যয়।</t>
  </si>
  <si>
    <t>২০০৯-১০
অনুঃ-৭
পৃষ্ঠা নং (পরি)-১২</t>
  </si>
  <si>
    <t>অর্থ মন্ত্রণালয়ের নির্দেশ থাকা সত্ত্বেও দরপত্র সিডিউল বিক্রয় বাবদ প্রাপ্ত টাকা সরকারী কোষাগারে জমা হয়নি।</t>
  </si>
  <si>
    <t>২০১২-২০১৩
অনুঃ- ১২</t>
  </si>
  <si>
    <t>উন্মুক্ত দরপত্র পদ্ধতিতে  (OTM) প্রাপ্ত দরপত্র গ্রহণ না করে পরবর্তীতে সরাসরি গ্রহন পদ্ধতি  (DPM) এর মাধ্যমে একই দরদাতার নিকট হতে অতিরিক্ত দরে মালামাল ক্রয় করায় সংস্থার ক্ষতি ৬৩,৯১,৯০৬ টাকা।</t>
  </si>
  <si>
    <t>২০১৭-১৮ অনুঃ-৮</t>
  </si>
  <si>
    <t>স্ট্যান্ডার্ড টেন্ডার ডকুমেন্টস অনুযায়ী চুক্তি সম্পাদন না করায় বিদ্যুৎ উন্নয়ন বোর্ডের তহবিল হতে ঠিকাদারের পক্ষে বীমা প্রিমিয়াম পরিশোধে বোর্ডের আর্থিক ক্ষতি।</t>
  </si>
  <si>
    <t>পরিচালক
সম্পত্তি ও যানবাহন পরিদপ্তর
বিউবো, ঢাকা।</t>
  </si>
  <si>
    <t>২০১৭-১৮ অনুঃ-৭</t>
  </si>
  <si>
    <t>মন্ত্রণালয়ের কর্মকর্তাগণ কর্তৃক ব্যবহৃত বিউবোর যানবাহনের জ্বালানী ও মেরামত খরচ বিউবো এর তহবিল হতে পরিশোধ করায় বোর্ডের ক্ষতি।</t>
  </si>
  <si>
    <t xml:space="preserve">পরিচালক
সম্পত্তি ও যানবাহন পরিদপ্তর
বিউবো, ঢাকা।
</t>
  </si>
  <si>
    <t>২০০৫-০৬
অনুঃ-৮(ছ)
পৃষ্ঠা নং-২২,২৩</t>
  </si>
  <si>
    <t>প্রাধিকার বহির্ভূত ৩য় শ্রেনীর কর্মচারী ও মন্ত্রনালয়ের কর্মকর্তাগনকে সার্বক্ষণিক গাড়ী ব্যবহার করার সুযোগ প্রদান করায় সংস্থার আর্থিক ক্ষতি।</t>
  </si>
  <si>
    <t>২০০৯-১০
অনুঃ-৬
পৃষ্ঠা নং (পরি)-১২</t>
  </si>
  <si>
    <t>বাংলাদেশ বিদ্যুৎ উন্নয়ন বোর্ডের বাইরের এবং প্রাধিকারবিহীন কর্মকর্তা কর্তৃক বোর্ডের গাড়ী ব্যবহার করায় গাড়ীর জ্বালানী বাবদ ক্ষতি।</t>
  </si>
  <si>
    <t>২০০৬-০৮
অনুঃ নং-</t>
  </si>
  <si>
    <t>২০১০-১১
অনুঃ-১১
পৃষ্ঠা নং (পরি)-৩০</t>
  </si>
  <si>
    <t>কর্মকর্তাগণ কর্তৃক বিধি বহির্ভূতভাবে যানবাহন ব্যবহার করায় জ্বালানী বাবদ ক্ষতি।</t>
  </si>
  <si>
    <t>২০১০-১১
অনুঃ-৫
পৃষ্ঠা নং (পরি)-২৫</t>
  </si>
  <si>
    <t>বোর্ডের যানবাহন বোর্ড বহির্ভূত কর্মকর্তা কর্তৃক ব্যবহারের কারণে সরকারের আর্থিক ক্ষতি।</t>
  </si>
  <si>
    <t xml:space="preserve">পরিচালক, আইপিপি সেল-১, বিউবো, ঢাকা। </t>
  </si>
  <si>
    <t xml:space="preserve">২০১০-১১ হতে ২০১১-২০১২ 
অনুঃ নং-	</t>
  </si>
  <si>
    <t>২০১২-২০১৩ 
অনুঃ- ০১</t>
  </si>
  <si>
    <t xml:space="preserve">সম্পাদিত চুক্তি অনুযায়ী বাৎসরিক গ্রহণযোগ্য Outage অপেক্ষা অতিরিক্ত Outage হওয়ায় Liquidated Damage (LD) কর্তন না করায়  বিউবোর ক্ষতি ৪৪৯,২৭,৬৫,৯৮৯ টাকা। </t>
  </si>
  <si>
    <t xml:space="preserve">পরিচালক, আইপিপি সেল-১,বিউবো, ঢাকা। </t>
  </si>
  <si>
    <t xml:space="preserve">২০০৯-১০ হতে ২০১২-২০১৩
 অনুঃ নং-	</t>
  </si>
  <si>
    <t>২০১২-২০১৩
অনুঃ- ০২</t>
  </si>
  <si>
    <t>বেসরকারি রেন্টাল কোম্পানি কর্তৃক স্থাপিত বিদ্যুৎ কেন্দ্রের উৎপাদন ক্ষমতা (Dependable Capacity) চুক্তি অনুযায়ী বাৎসরিক টেস্ট গ্রহণ ব্যতিরেকে ১ম বৎসরের টেস্ট এর ভিত্তিতে মাসিক Fixed Rent প্রদান করায় বিউবো’র ক্ষতি ৩২৮,৬২,০৪,৪০২.৭৩ টাকা।</t>
  </si>
  <si>
    <t>২০১২-২০১৩
অনুঃ- ০৩</t>
  </si>
  <si>
    <t>রেন্টাল কোম্পানী কর্তৃক সম্পাদিত চুক্তি অনুযায়ী উৎপাদিত বিদ্যুতের বিপরীতে ব্যবহারযোগ্য জ্বালানি অপেক্ষা অতিরিক্ত জ্বালানি ব্যবহারজনিত অর্থ আদায় না করায় বিউবো’র ক্ষতি ২৫০,২১,৪১,৩৭৪ টাকা।</t>
  </si>
  <si>
    <t>২০১২-২০১৩
অনুঃ- ০৪</t>
  </si>
  <si>
    <t>চুক্তি অনুযায়ী নূন্যতম ৯০% প্লান্ট ফ্যাক্টর অর্জনে ব্যর্থ কুইক রেন্টাল বিদ্যুৎ কেন্দ্রের সাথে ১ম মেয়াদ উত্তীর্ণের পর বিধি বহির্ভূতভাবে ২য় বার পুনঃ চুক্তি সম্পন্ন করা বিউবোর ক্ষতি ২১৭,২৭,৪৮,৪৮৪.০০ টাকা।</t>
  </si>
  <si>
    <t xml:space="preserve">২০০৯-১০ হতে ২০১২-২০১৩ 
অনুঃ নং-	</t>
  </si>
  <si>
    <t>২০১২-২০১৩
অনুঃ- ০৫</t>
  </si>
  <si>
    <t>বে-সরকারি বিদ্যুৎ ক্রয় চুক্তির আওতায় রেন্টাল বিদ্যুৎ কেন্দ্র কর্তৃক যথাসময়ে কমার্শিয়াল অপারেশন ডেট (COD) গ্রহণে ব্যর্থ হওয়া সত্ত্বেও চুক্তিপত্রের শর্তানুযায়ী Liquidated Damage (LD) আদায় না করায় ক্ষতি ২৯৮,৪৬,৫৯,৮৮৬.০০ টাকা।</t>
  </si>
  <si>
    <t>২০১২-২০১৩
অনুঃ- ০৬(১)</t>
  </si>
  <si>
    <t xml:space="preserve">সিওডি’র সময়ে চুক্তিবদ্ধ ক্যাপাসিটির চেয়ে Dependable Capacity কম অর্জিত হওয়া সত্ত্বেও চুক্তির শর্তানুযায়ী Liquidated Damage (LD) আরোপ এবং আদায় না করায় ক্ষতি ৭৩,০৭,৯৫,৯১০.০০ টাকা। </t>
  </si>
  <si>
    <t>২০১২-২০১৩
অনুঃ- ০৬(২)</t>
  </si>
  <si>
    <t xml:space="preserve">সিওডি’র সময়ে চুক্তিবদ্ধ ক্যাপাসিটির চেয়ে Dependable Capacity কম অর্জিত হওয়া সত্ত্বেও চুক্তির শর্তানুযায়ী Liquidated Damage (LD) আরোপ এবয় আদায় না করায় ক্ষতি ৭৩,০৭,৯৫,৯১০.০০ টাকা। </t>
  </si>
  <si>
    <t xml:space="preserve">পরিচালক,
আইপিপি সেল-২,
বিউবো, ঢাকা। </t>
  </si>
  <si>
    <t xml:space="preserve">২০০৯-১০ হতে ২০২১-২০১৩ অনুঃ নং-	</t>
  </si>
  <si>
    <t>২০১২-২০১৩ 
অনুঃ- ০৭</t>
  </si>
  <si>
    <t>চুক্তি শর্তানুযায়ী আদায়যোগ্য সমুদয় Liquidated Damage (LD) আদায় না করে কিস্তিতে পরিশোধের সুযোগ প্রদান এবং অনাদায়ী LD এর পরিমাণ ১,৩০,৩৯,৫৫৯ মার্কিন ডলার সমপরিমাণ ১০৩,৩৭,৭৩,৪৮১ টাকা।</t>
  </si>
  <si>
    <t xml:space="preserve">পরিচালক,জনসংযোগ পরিদপ্তর, বিউবো, ঢাকা। </t>
  </si>
  <si>
    <t>৯০-৯১
অনুঃ-২</t>
  </si>
  <si>
    <t xml:space="preserve">৯২-৯৩
অনুঃ-৪(৮)
পৃষ্ঠা নং-১১-১৩ </t>
  </si>
  <si>
    <t>মহার্ঘভাতার উপর বকেয়া বাড়ীভাড়া প্রদান।</t>
  </si>
  <si>
    <t xml:space="preserve">পরিচালক,প্রশিক্ষণ ও পেশা উন্নয়ন পরিদপ্তর, বিউবো, ঢাকা। </t>
  </si>
  <si>
    <t>৯০-৯১
অনুঃ-৩</t>
  </si>
  <si>
    <t>৯২-৯৩
অনুঃ-৪(৭)
পৃষ্ঠা নং-১১-১৩</t>
  </si>
  <si>
    <t xml:space="preserve">প্রকল্প পরিচালক, ফিজিবিলিটি স্টাডি ফর পিকিং পাওয়ার প্ল্যান্ট
</t>
  </si>
  <si>
    <t>২০০২-০৩  অনুঃ-৫</t>
  </si>
  <si>
    <t>২০০২-০৩   
অনুঃ-৬
পৃষ্ঠা নং-১৪</t>
  </si>
  <si>
    <t>কনসালটেন্সি বিল হতে আয়কর ও ভ্যাট বাবদ ৭,২৯,৮৮২.০০ টাকা কম কর্তন করায় সরকারের রাজস্ব ক্ষতি।</t>
  </si>
  <si>
    <t>প্রধান প্রকৌশলী, 
পূর্তকর্ম
বিউবো, ঢাকা।</t>
  </si>
  <si>
    <t>২০১৭-১৮
অনুঃ-৩(৫)</t>
  </si>
  <si>
    <t>প্রধান প্রকৌশলী, পরিকল্পনা ও নক্সা (পিএন্ডডি), বিউবো, ঢাকা।</t>
  </si>
  <si>
    <t>৮৬-৯১
অনুঃ-৪</t>
  </si>
  <si>
    <t>৯২-৯৩
অনুঃ-৪(৬)
পৃষ্ঠা নং-১১-১৩</t>
  </si>
  <si>
    <t xml:space="preserve">বিদ্যুৎ কেন্দ্র পনর্বাসন প্রকল্প।_x000D_
</t>
  </si>
  <si>
    <t>৯৮-৯৯
অনুঃ-২.০৫</t>
  </si>
  <si>
    <t>৯৮-৯৯
অনুঃ- ১৯
পৃষ্ঠা নং-২৬</t>
  </si>
  <si>
    <t>পিপি বহির্ভূত এক অতিরিক্ত খরচ।</t>
  </si>
  <si>
    <t xml:space="preserve">শুল্ক মুক্তি ও স্থানান্তর, বিউবো, ঢাকা। </t>
  </si>
  <si>
    <t>৯৫-৯৬
অনুঃ-১৩
পৃষ্ঠা নং-১৭-১৮</t>
  </si>
  <si>
    <t xml:space="preserve">আমদানীকৃত মালামাল ঘাটতি। </t>
  </si>
  <si>
    <t>সচিব,
বাংলাদেশ বিদ্যুৎ উন্নয়ন বোর্ড,
কেন্দ্রীয় সচিবালয়, ঢাকা।</t>
  </si>
  <si>
    <t>২০১৭-১৮
অনুঃ-৩(৬)</t>
  </si>
  <si>
    <t>সিস্টেম লস রিডাকশন স্কীম পাইলট  প্রকল্প</t>
  </si>
  <si>
    <t>১৯৯৮-৯৯</t>
  </si>
  <si>
    <t>১৯৯৯-২০০০
২য় অধ্যায়
অনুঃ-৩
পৃষ্ঠা নং-৩৫</t>
  </si>
  <si>
    <t>আর্থিক বিবরনীতে ৪,৮৯,৬০,৫৬৪/-টাকা হিসাবভ‚ক্ত না করা জনিত গুরুতর আর্থিক ক্ষতি।</t>
  </si>
  <si>
    <t xml:space="preserve">ব্যবস্থাপক,
ফরিদপুর ৫০ মেঃ ওঃ পিকিং বিদ্যুৎ কেন্দ্র,
বিউবো, ফরিদপুর। </t>
  </si>
  <si>
    <t xml:space="preserve">২০১০-১১ হতে ২০১১-২০১২ অনুঃ নং-	</t>
  </si>
  <si>
    <t>২০১২-২০১৩
অনুঃ- ০৯</t>
  </si>
  <si>
    <t>দাখিলকৃত দরপত্র প্রস্তাব ও সম্পাদিত চুক্তিপত্র অনুযায়ী প্লান্টে ব্যবহারযোগ্য প্রয়োজনীয় জ্বালানির তুলনায় Monthly Operational Data (MOD) অনুযায়ী অতিরিক্ত ৩৬,৭৭,৩৪১ লিটার জ্বালানির ব্যবহার হওয়ায় এর মূল্য ঠিকাদারের নিকট হতে আদায় না করায় ক্ষতি ২২,১২,০৫,৬০৯ টাকা।</t>
  </si>
  <si>
    <t xml:space="preserve">উপ-পরিচালক, কেন্দ্রীয় ভান্ডার, বিউবো, টঙ্গী। </t>
  </si>
  <si>
    <t>৯৬-৯৮
অনুঃ-২</t>
  </si>
  <si>
    <t>৯৭-৯৮
অনুঃ-১২
পৃষ্ঠা নং-২৫</t>
  </si>
  <si>
    <t xml:space="preserve">তত্ত্বাবধায়ক প্রকৌশলী, কেন্দ্রীয় সরঞ্জাম মেরামত কারখানা, বিউবো, টংগী। </t>
  </si>
  <si>
    <t>৯০-৯৭
অনুঃ-৩</t>
  </si>
  <si>
    <t>৯৬-৯৭ 
অনুঃ-৮
পৃষ্ঠা নং-১৮</t>
  </si>
  <si>
    <t xml:space="preserve">প্রাপ্য হারের চেয়ে অতিরিক্ত বাড়ী ভাড়া। </t>
  </si>
  <si>
    <t>৯০-৯৭
অনুঃ-৪</t>
  </si>
  <si>
    <t>৯৬-৯৭
অনুঃ-১২
পৃষ্ঠা নং-২০</t>
  </si>
  <si>
    <t>অনিয়মিতভাবে বাড়ী ভাড়া ভাতা প্রদান।</t>
  </si>
  <si>
    <t>নির্বাহী প্রকৌশলী, আঞ্চলিক মেরামত কারখানা, বিউবো, টংগী।</t>
  </si>
  <si>
    <t>২০০১-০২
অনুঃ-</t>
  </si>
  <si>
    <t>২০০২-০৩
অনুঃ-১২
পৃষ্ঠা নং-৪৬</t>
  </si>
  <si>
    <t>উচ্চমূল্য সুপার এনামেল তার ক্রয়ের মাধ্যমে বোর্ডের আর্থিক ক্ষতি।</t>
  </si>
  <si>
    <t xml:space="preserve">ব্যবস্থাপক
গোপালগঞ্জ ১০০ মেঃ ওঃ পিকিং বিদ্যুৎ কেন্দ্র
বিউবো, গোপালগঞ্জ। </t>
  </si>
  <si>
    <t>নির্বাহী প্রকৌশলী, পিসি পোল নির্মাণ প্ল্যান্ট, বিউবো, মানিকগঞ্জ।</t>
  </si>
  <si>
    <t>২০১১-১২
অনুঃ-১০
পৃষ্ঠা নং (পরি)-৮৩</t>
  </si>
  <si>
    <t>ঠিকাদারের উদ্বৃত দরপত্র মূল্য্য প্রাক্কলিত মূল্য্যের অস্বাভাবিক হারে উর্ধ্বদর হওয়া সত্ত্বেও পিপিআর-২০০৮ এর ব্যত্যয় ঘটিয়ে দরপত্র বাতিল না করে উর্ধ্ব দরে কার্য সম্পাদন করায় ক্ষতি।</t>
  </si>
  <si>
    <t xml:space="preserve">২১০ মেঃ ওঃ এসটিপিএস নির্মান প্রকল্প, বিউবো, সিদ্ধিরগঞ্জ, নারায়নগঞ্জ। </t>
  </si>
  <si>
    <t>২০০৩-০৫</t>
  </si>
  <si>
    <t>২০০৪-০৫
অনুঃ-০১
পৃষ্ঠা নং-৭</t>
  </si>
  <si>
    <t>নির্ধারিত সময়ে প্রকল্পের কাজ সমাপন না করায় সরকারের টাঃ ৬৭৬৩৫.৮৬ লক্ষ আর্থিক ক্ষতি।</t>
  </si>
  <si>
    <t>২০০৪-০৫
অনুঃ-০৩
পৃষ্ঠা নং-৯</t>
  </si>
  <si>
    <t>২০০৩ যথাযথভাবে অনুসরণ না করে টাঃ ১,৫২,০৯,৭৪২.০০ কার্যাদেশ প্রদান।</t>
  </si>
  <si>
    <t>২০০৪-০৫_x000D_
অনুঃ-০৪_x000D_
পৃষ্ঠা নং-১০</t>
  </si>
  <si>
    <t>ঠিকাদারের পারস্পারিক যোগসাজশে যন্ত্রপাতি, ক্যামিক্যাল ও পূর্ত কাজের ১ কোটি ৮১ লক্ষ টাকার কার্যাদেশ প্রদান।</t>
  </si>
  <si>
    <t xml:space="preserve">২১০ মেঃ ওঃ ঘোড়াশাল তাপ বিদ্যুৎ কেন্দ্র নির্মাণ প্রকল্প ( 6th ইউনিট)। 
</t>
  </si>
  <si>
    <t>৯৭-৯৮
অনুঃ-২.০৫</t>
  </si>
  <si>
    <t>৯৭-৯৮
অনুঃ-৮
পৃষ্ঠা নং-১৫</t>
  </si>
  <si>
    <t>বিধি বহির্ভূত ভাবে প্রকল্প তহবিল হইতে গৃহ নির্মাণ ঋন দেওয়ায় ক্ষতি।</t>
  </si>
  <si>
    <t>৯৬-৯৭
অনুঃ-২.০১</t>
  </si>
  <si>
    <t>৯৬-৯৭
অনুঃ-২০
পৃষ্ঠা নং-২২</t>
  </si>
  <si>
    <t>পিপি বহির্ভূত খাতে খরচ।</t>
  </si>
  <si>
    <t>৯৬-৯৭
অনুঃ-২.০২</t>
  </si>
  <si>
    <t>৯৬-৯৭
অনুঃ-৮
পৃষ্ঠা নং-১৫</t>
  </si>
  <si>
    <t xml:space="preserve">২১০ মেঃ ওঃ তাপ বিদ্যুৎ কেন্দ্র নির্মাণ প্রকল্প, বিউবো, রাউজান, চট্টগ্রাম।_x000D_
</t>
  </si>
  <si>
    <t>৯৭-৯৮
অনুঃ-২.০৩</t>
  </si>
  <si>
    <t>৯৭-৯৮
অনুঃ-১(গ)
পৃষ্ঠা নং-৮</t>
  </si>
  <si>
    <t>আয়কর কর্তন না করায় ক্ষতি।</t>
  </si>
  <si>
    <t>২১০ মেঃ ওঃ সিদ্ধিরগঞ্জ থারমাল পাওয়ার ষ্টেশন প্রকল্প।</t>
  </si>
  <si>
    <t>২০০৩-০৪
অনু-০২
পৃষ্ঠা নং-২</t>
  </si>
  <si>
    <t>অননুমোদিতভাবে পাওয়ার হাউস ভাতা বাবদ ১৯ লক্ষ ৮২ হাজার টাকা পরিশোধ করায় প্রকল্পের আর্থিক ক্ষতি।</t>
  </si>
  <si>
    <t>২০০৫-০৬
অনুঃ-০৩
পৃষ্ঠা নং-১৩</t>
  </si>
  <si>
    <t>পিপিআর-২০০৩ যথাযথভাবে অনুসরণ না করে প্রকল্পের শেষ সময়ে মালামাল ক্রয়ে ১৫ লক্ষ টাকা অনিয়মিত ব্যয়।</t>
  </si>
  <si>
    <t>২০০৫-০৬
অনুঃ-০৪
পৃষ্ঠা নং-১৪</t>
  </si>
  <si>
    <t>ঠিকাদারকে চুক্তির অতিরিক্ত ৪৮ লক্ষ টাকা পরিশোধে ক্ষতি।</t>
  </si>
  <si>
    <t>ঘোড়াশাল ১ ও ২ নং ইউনিট আধুনিকায়ন ও পূর্নবাসন প্রকল্প, বিউবো, পলাশ, নরসিংদী।</t>
  </si>
  <si>
    <t>২০১২-১৩
অনুঃ-২,৩</t>
  </si>
  <si>
    <t>২০১৩-১৪
অনুঃ-০৬
পৃষ্ঠা নং-১১</t>
  </si>
  <si>
    <t>অব্যয়িত CD/ VAT এবং ব্যাংক ব্যালেন্স ৫১,৯৭,৫৮৬.০৬ টাকা সরকারি হিসাবে জমা করা হয়নি।</t>
  </si>
  <si>
    <t xml:space="preserve">নির্বাহী প্রাকৌশলী, পি সি পোল নির্মান বিভাগ-১ (বর্তমানে নি: প্র: (পর্ত), ঘোড়াশাল বিদ্যৃৎ কেন্দ্র, বিউবো, ঘোড়াশাল, নরসিংদী। </t>
  </si>
  <si>
    <t>৮১-৮৫
অনুঃ-১</t>
  </si>
  <si>
    <t>৯১-৯২
অনুঃ-২৬
পৃষ্ঠা নং-২১</t>
  </si>
  <si>
    <t>আয়কর বাবদ কম কর্তন।</t>
  </si>
  <si>
    <t>৮১-৮৫
অনুঃ-৩</t>
  </si>
  <si>
    <t>৯১-৯২
অনুঃ-৩১
পৃষ্ঠা নং-২৩</t>
  </si>
  <si>
    <t>অনিয়মিত মেডিকেল বিল।</t>
  </si>
  <si>
    <t>৮৯-৯০
অনৃ-১</t>
  </si>
  <si>
    <t>৯৪-৯৫
অনু--১(৫)
পৃষ্ঠা নং-৯-১০</t>
  </si>
  <si>
    <t xml:space="preserve">প্রধান প্রকৌশলী ঘোড়াশাল বিদ্যুৎ কেন্দ্র, বিউবো, পলাশ, নরসিংদী। </t>
  </si>
  <si>
    <t>২০১৭-১৮   অনুঃ-৪ (১)</t>
  </si>
  <si>
    <t>২০১৭-১৮ অনুঃ-৫(১)</t>
  </si>
  <si>
    <t>২০১২-২০১৩
অনুঃ- ১৩</t>
  </si>
  <si>
    <t>১ম আহব্বানকৃত দরপত্রে রেসপনসিভ সর্বনিম্ন দরদাতার দর গ্রহণ না করে অতিরিক্ত দরে প্রাক্কলন সংশোধন করে পুনঃদরপত্রের মাধ্যমে একই দরদাতা কর্তৃক ১ম দরপত্রে তুলনায় অতিরিক্ত দরে কার্য সম্পাদন করায় ক্ষতি ৪৮,৬৭,০৪৭ টাকা।</t>
  </si>
  <si>
    <t>২০১৪-১৫ হতে ২০১৫-১৬ অনুঃ</t>
  </si>
  <si>
    <t>২০১৬-১৭ অনুঃ-০৯</t>
  </si>
  <si>
    <t>দীর্ঘদিন থেকে বন্ধ বিদ্যুৎ উৎপাদন প্ল্যান্টের কর্মচারীদের নিয়মিত অধিকাল ভাতা বাবদ অনিয়মিতভাবে ৪২,৮১,৫৬০.০০ টাকা পরিশোধ।</t>
  </si>
  <si>
    <t>২০১৪-১৫ হতে ২০১৫-১৬, অনুঃ</t>
  </si>
  <si>
    <t>২০১৬-১৭ অনুঃ-১০</t>
  </si>
  <si>
    <t>সাহায্যকারী পদে জনবল কাঠামো বহির্ভূত নিয়োজনের মাধ্যমে বেতন-ভাতাদি পরিশোধ করায় ২,১৪,৩৬,৩৮০.০০ টাকা বোর্ডের ক্ষতি।</t>
  </si>
  <si>
    <t>২০১৪-১৫ হতে
২০১৫-১৬
অনুঃ</t>
  </si>
  <si>
    <t>২০১৬-১৭, অনুঃ-০৭</t>
  </si>
  <si>
    <t>স্টক ভেরিফিকেশন প্রতিবেদন অনুযায়ী চুরি যাওয়া মালামালের মূল্য ১,৬০,৩৬,৩৮০.০০ টাকা দায়ী ব্যক্তি/ব্যক্তিবর্গের নিকট হতে আদায় করে বোর্ডের তহবিলে জমা করা হয়নি।</t>
  </si>
  <si>
    <t>২০১৬-১৭, অনুঃ-০৮</t>
  </si>
  <si>
    <t>অপ্রয়োজনীয় বৈদেশিক মালামাল ক্রয়পূর্বক দীর্ঘদিন ভান্ডারে ফেলে রাখায় বোর্ডের ১১,০৪,৬২,১৫৫.০০ টাকা ক্ষতির সম্ভবনা।</t>
  </si>
  <si>
    <t>২০১৭-১৮    অনুঃ-১</t>
  </si>
  <si>
    <t>বন্ধ বিদ্যুৎ উৎপাদন প্ল্যান্টের কর্মচারীদের অধিকাল ভাতা পরিশোধে আর্থিক ক্ষতি।</t>
  </si>
  <si>
    <t>৮৯-৯০
অনুঃ-৪</t>
  </si>
  <si>
    <t>৯৫-৯৬
অনুঃ-২৪
পৃষ্ঠা নং-২১</t>
  </si>
  <si>
    <t xml:space="preserve">বোর্ডের গাড়ী ব্যক্তিগত ব্যবহার। </t>
  </si>
  <si>
    <t>৯৬-৯৭
অনুঃ-৬
পৃষ্ঠা নং-১৭</t>
  </si>
  <si>
    <t>পানির মাসিক পরিশোধন ব্যয়ে তারতম্যের জন্য ক্ষতি।</t>
  </si>
  <si>
    <t>প্রধান প্রকৌশলী, খুলনা বিদ্যুৎ কেন্দ্র, বিউবো, খুলনা।</t>
  </si>
  <si>
    <t>২০১১-১২
অনুঃ-৬(১)
পৃষ্ঠা নং (পরি)-৭৬</t>
  </si>
  <si>
    <t xml:space="preserve">প্রধান বিদ্যুৎ কেন্দ্র, (প্রঃ প্রকৌঃ), খুলনা বিদ্যুৎ উৎপাদন কেন্দ্র, বিউবো, খুলনা। </t>
  </si>
  <si>
    <t>৯১-৯৫
অনুঃ-৭</t>
  </si>
  <si>
    <t>৯৫-৯৬
অনুঃ-৮(১)
পৃষ্ঠা নং-১৫</t>
  </si>
  <si>
    <t>ধোলাই ভাতা বাবদ অতিরিক্ত পরিশোধ।</t>
  </si>
  <si>
    <t>প্রধান বিদ্যুৎ কেন্দ্র, তত্ত¡া(প্রঃ প্রঃ), গোয়ালপাড়া, বিউবো, খুলনা।</t>
  </si>
  <si>
    <t>৯০-৯১
অনুঃ-৬</t>
  </si>
  <si>
    <t>৯৪-৯৫
অনুঃ-৭
পৃষ্ঠা নং-১৪</t>
  </si>
  <si>
    <t>আবাসিক টেলিফোন বিল বাবদ অতিরিক্ত পরিশোধ।</t>
  </si>
  <si>
    <t xml:space="preserve">ব্যবস্থাপক,
ভেড়ামারা বিদ্যুৎ কেন্দ্র,
বিউবো, ভেড়ামারা, কুষ্টিয়া। </t>
  </si>
  <si>
    <t>২০১২-২০১৩
অনুঃ- ০৮</t>
  </si>
  <si>
    <t>ভেড়ামারা ভাড়া বিদ্যুৎ কেন্দ্রের জ্বালানী পরিবহনের ২নং রেলওয়ে ট্রাক ও সাইডিং লাইন বর্ধিতকরণ কাজের জন্য ডিপোজিট ওয়ার্ক হিসেবে বাংলাদেশ রেলওয়েকে পরিশোধিত অর্থ রেন্টাল বিদ্যুৎ কেন্দ্রের নিকট হতে আদায় না করায় বিউবোর ক্ষতি ২,৯৯,৩২,৯৫৪ টাকা।</t>
  </si>
  <si>
    <t>ব্যবস্থাপক, ভেড়ামারা বিদ্যুৎ উৎপাদন কেন্দ্র, বিউবো, ভেড়ামারা, কুষ্টিয়া।</t>
  </si>
  <si>
    <t>৯২-৯৬
অনুঃ-৪</t>
  </si>
  <si>
    <t>৯৬-৯৭
অনুঃ-৭
পৃষ্ঠা নং-১৮</t>
  </si>
  <si>
    <t>বিভাগীয় ষ্টোর ভেরিফিকেশন প্রতিবেদনে মালামাল ঘাটতি।</t>
  </si>
  <si>
    <t>নির্বাহী প্রকৌশলী, বিক্রয় ও বিতরণ বিভাগ বিউবো, জামালপুর (সাবেক  বিতরণ বিভাগ)।</t>
  </si>
  <si>
    <t>২০০০-০১
অনুঃ১(৩)
পৃষ্ঠা-১১</t>
  </si>
  <si>
    <t>২০০০-০১
অনুঃ-১</t>
  </si>
  <si>
    <t>২০০০-০১
অনুঃ-২(৮)
পৃষ্ঠা নং-২৬</t>
  </si>
  <si>
    <t>২০০৪-০৫
অনুঃ-১৩(গ)
পৃষ্ঠা নং-৮৭</t>
  </si>
  <si>
    <t>২০০৪-০৫
অনুঃ-১৩(ঘ)
পৃষ্ঠা নং-৮৮</t>
  </si>
  <si>
    <t>২০০৪-০৫
অনুঃ-১৩(ঙ)
পৃষ্ঠা নং-৮৯</t>
  </si>
  <si>
    <t>২০০৪-০৫
অনুঃ-১৩(চ)
পৃষ্ঠা নং-৯০</t>
  </si>
  <si>
    <t>২০০৪-০৫
অনুঃ-১৩(ছ)
পৃষ্ঠা নং-৯১</t>
  </si>
  <si>
    <t>২০০৪-০৫
অনুঃ-১৩(জ)
পৃষ্ঠা নং-৯২</t>
  </si>
  <si>
    <t>২০০৪-০৫
অনুঃ০১</t>
  </si>
  <si>
    <t>২০০৪-০৫
অনুঃ৭(ছ)
পৃষ্ঠা নং-৩৩</t>
  </si>
  <si>
    <t>২০০৯-১০
অনুঃ-১১(৫)
পৃষ্ঠা নং (পরি)-২৭</t>
  </si>
  <si>
    <t>২০০৬-০৭
অনুঃ নং-</t>
  </si>
  <si>
    <t>২০০৯-১০
অনুঃ-৯(৩)
পৃষ্ঠা নং (পরি)-১৭</t>
  </si>
  <si>
    <t>নিখোঁজ গ্রাহকের নিকট টাকা অনাদায় জনিত সরকারের রাজস্ব ক্ষতি।</t>
  </si>
  <si>
    <t>২০১০-১১
অনুঃ-১২
পৃষ্ঠা নং (পরি)-৩১</t>
  </si>
  <si>
    <t>২জন গ্রাহকের নিকট বিদ্যুৎ বিল বাবদ অনাদায়ী।</t>
  </si>
  <si>
    <t>৮৬-৮৭
অনুঃ-১০</t>
  </si>
  <si>
    <t>৯১-৯২
অনুঃ-৫(২)
পৃষ্ঠা নং-৭-৮</t>
  </si>
  <si>
    <t xml:space="preserve">নির্বাহী প্রকৌশলী , 
বিক্রয় ও বিতরন বিভাগ,
বিউবো, কিশোরগঞ্জ। </t>
  </si>
  <si>
    <t>২০০৪-০৫
অনুঃ</t>
  </si>
  <si>
    <t>২০০৪-০৫
অনুঃ১৩(খ)
পৃষ্ঠা নং-৮৫,৮৬</t>
  </si>
  <si>
    <t>২০০৪-০৫
অনুঃ নং-০১</t>
  </si>
  <si>
    <t>২০০৪-০৫
অনুঃ-৭(চ)
পৃষ্ঠা নং-৩২</t>
  </si>
  <si>
    <t>৯০-৯১
অনুঃ-২(খ)</t>
  </si>
  <si>
    <t>৯৪-৯৫
অনুঃ-৩(২)
পৃষ্ঠা নং-১২</t>
  </si>
  <si>
    <t>৯৫-৯৬
অনুঃ-১(১০)
পৃষ্ঠা নং-১১</t>
  </si>
  <si>
    <t>৯২-৯৪
অনুঃ-৭</t>
  </si>
  <si>
    <t>৯৫-৯৬
অনুঃ-১(৮)
পৃষ্ঠা নং-১১</t>
  </si>
  <si>
    <t>৮৬-৯০
অনুঃ-১(খ)</t>
  </si>
  <si>
    <t>৯৫-৯৬
অনুঃ-২(৪)
পৃষ্ঠা নং-১২</t>
  </si>
  <si>
    <t>মৃত হিসাবে বকেয়া।</t>
  </si>
  <si>
    <t>৯১-৯২
অনুঃ-৩</t>
  </si>
  <si>
    <t>৯৫-৯৬
অনুঃ-২৬
পৃষ্ঠা নং-২২</t>
  </si>
  <si>
    <t>জামানত ডিমান্ড চার্জ ও সার্ভিস চার্জ বাবদ অনাদায়ী।</t>
  </si>
  <si>
    <t>৯২-৯৪
অনুঃ-৪</t>
  </si>
  <si>
    <t>৯৫-৯৬
অনুঃ-৫(৩)
পৃষ্ঠা নং-১৪</t>
  </si>
  <si>
    <t>ভৈরব বাজার বিদ্যুৎ সরবরাহ, বিউবো, কিশোরগঞ্জ।</t>
  </si>
  <si>
    <t>১৯৯১-৯৪
অনুঃ-৬</t>
  </si>
  <si>
    <t>৯৫-৯৬
অনুঃ-১০(১)
পৃষ্ঠা নং-১৬</t>
  </si>
  <si>
    <t>ভৈরব বাজার বিদ্যুৎ সরবরাহ, বিউবো, ভৈরব, কিশোরগঞ্জ।</t>
  </si>
  <si>
    <t>৯৫-৯৬
অনুঃ-২৭
পৃষ্ঠা নং-২২-২৩</t>
  </si>
  <si>
    <t>লেজার সংরক্ষনে অনিয়ম।</t>
  </si>
  <si>
    <t>গৌরিপুর বিদ্যুৎ সরবরাহ, বিউবো, গৌরিপুর।</t>
  </si>
  <si>
    <t>৮৯-৯০
অনুঃ-১</t>
  </si>
  <si>
    <t>৯৩-৯৪
অনুঃ২(১)
পৃষ্ঠা নং-৫-৬</t>
  </si>
  <si>
    <t>৯৫-৯৬
অনুঃ-১(৩)
পৃষ্ঠা নং-১১</t>
  </si>
  <si>
    <t>ত্রিশাল বিদ্যুৎ সরবরাহ, বিউবো, ত্রিশাল, ময়মনসিংহ।</t>
  </si>
  <si>
    <t>৯৩-৯৪
অনুঃ-২(২)
পৃষ্ঠা নং-৫-৬</t>
  </si>
  <si>
    <t xml:space="preserve">নির্বাহী প্রকৌশলী , 
বিক্রয় ও বিতরন বিভাগ-১ (উত্তর),
বিউবো, ময়মনসিংহ। </t>
  </si>
  <si>
    <t>২০০৬-০৭
অনুঃ নং-৪</t>
  </si>
  <si>
    <t>২০০৯-১০
অনুঃ-১১(১)
পৃষ্ঠা নং (পরি)-২২ ও ২৩</t>
  </si>
  <si>
    <t>২০০৯-১০
অনুঃ নং-৩</t>
  </si>
  <si>
    <t>২০১০-১১
অনুঃ-২(৬)
পৃষ্ঠা নং (পরি)-১১</t>
  </si>
  <si>
    <t xml:space="preserve">২০১২-১৩
অনুঃ-১(১১)
পৃষ্ঠা নং-(পরি)- 
২৪ হইতে ২৬
</t>
  </si>
  <si>
    <t>দীর্ঘ দিন বিদ্যুৎ বিল পরিশোধ না করা সত্ত্বেও ৮৭ জন গ্রাহকের সংযোগ বিচ্ছিন্ন না করে অনিয়মিতভাবে বিদ্যুৎ ব্যবহারের সুযোগ প্রদান করায় ৭৩,৬১,৭৭৩/- টাকা অনাদায়ী।</t>
  </si>
  <si>
    <t>নির্বাহী প্রকৌশলী, 
বিক্রয় ও বিতরণ বিভাগ-২ (দক্ষিণ)
বিউবো, ময়মনসিংহ।</t>
  </si>
  <si>
    <t>২০০৩-০৪
অনুঃ-১৬(ক)
পৃষ্ঠা নং- ৬০</t>
  </si>
  <si>
    <t>সংযোগ বিচ্ছিন্ন গ্রাহকদের নিকট বিদ্যুৎ বিল বাবদ বকেয়া। টাকা ২২,২৩৭৫৬/- বইতে উল্লেখ আছে।</t>
  </si>
  <si>
    <t>২০০৩-০৪
অনুঃ-২১
পৃষ্ঠা নং-৮৯</t>
  </si>
  <si>
    <t>নিয়মিত লোড ব্যালেন্সিং না করায় ৯টি ট্রান্সফরমার পুড়ে বোর্ডের ক্ষতি। টাকা ৮০৪,০০০/- বইতে উল্লেখ আছে।</t>
  </si>
  <si>
    <t>২০০৫-০৬
অনুঃ-১৫(ঢ)
পৃষ্ঠা নং-৫৭</t>
  </si>
  <si>
    <t>কাজ শেষে উদ্বৃত্ব মালামাল ঠিকাদার হতে না নেয়ায় আর্থিক ক্ষতি।</t>
  </si>
  <si>
    <t>২০০৯-১০
অনুঃ নং-৪</t>
  </si>
  <si>
    <t>২০১০-১১
অনুঃ-৩(২)
পৃষ্ঠা নং (পরি)-১৯</t>
  </si>
  <si>
    <t>নিখোঁজ ৫৪ জন গ্রাহকের নিকট অনাদায়জনিত সরকারের রাজস্ব ক্ষতি।</t>
  </si>
  <si>
    <t>২০১৭-১৮ অনুঃ-৩(৩)</t>
  </si>
  <si>
    <t>জাতীয় রাজস্ব বোর্ডের নির্দেশনা উপেক্ষা করে ভ্যাট কম কর্তন/কর্তন করা এবং দন্ড সুদ বাবদ রাজস্ব ক্ষতি হয়েছে।</t>
  </si>
  <si>
    <t>৯১-৯২
অনুঃ-২৭
পৃষ্ঠা নং-২১</t>
  </si>
  <si>
    <t>অনিয়মিত বিদেশ ভ্রমন ভাতা প্রদান।</t>
  </si>
  <si>
    <t>৯১-৯২
অনুঃ-৮</t>
  </si>
  <si>
    <t>৯৫-৯৬
অনুঃ-১০(৩)
পৃঃ-১৬</t>
  </si>
  <si>
    <t>৯৫-৯৬
অনুঃ-১০</t>
  </si>
  <si>
    <t>৯৬-৯৭
অনুঃ-২(৩)
পৃঃ-১৪</t>
  </si>
  <si>
    <t>মৃত গ্রাহকদের নিকট অনাদায়ী।</t>
  </si>
  <si>
    <t>৯৫-৯৬
অনুঃ-১৩</t>
  </si>
  <si>
    <t>৯৬-৯৭
অনুঃ-৪(৫)
পৃঃ-১৫-১৬</t>
  </si>
  <si>
    <t>নির্বাহী প্রকৌশলী, ১৮ শহর বিদ্যুৎ বিতরণ প্রকল্প, ময়মনসিংহ।</t>
  </si>
  <si>
    <t>২০০৩-০৪
অনুঃ-২৩(খ)
পৃষ্ঠা নং-৯৩</t>
  </si>
  <si>
    <t>প্রকৃত কাজের চেয়ে ঠিকাদারকে অতিরিক্ত কার্যমূল্য পরিশোধ।</t>
  </si>
  <si>
    <t>নির্বাহী প্রকৌশলী, বিক্রয় ও বিতরণ বিভাগ, বিউবো, শেরপুর।</t>
  </si>
  <si>
    <t>২০০২-০৩
অনুঃ-৪</t>
  </si>
  <si>
    <t>২০০২-০৩
অনুঃ-৯(গ)
পৃষ্ঠা নং-৩৫</t>
  </si>
  <si>
    <t>২০০৩-০৪
অনুঃ-১৬(খ)
পৃষ্ঠা নং- ৬০</t>
  </si>
  <si>
    <t>১৯৯১-৯৫
অনুঃ-১</t>
  </si>
  <si>
    <t>৯৫-৯৬
অনুঃ-১৭
পৃষ্ঠা নং-১৯</t>
  </si>
  <si>
    <t>ডাক্তার ও কর্মচারীদের নিকট বিদ্যুৎ বিল বকেয়া।</t>
  </si>
  <si>
    <t>৮৭-৮৯
অনুঃ-২</t>
  </si>
  <si>
    <t>৯১-৯২
অনুঃ-১২
পৃষ্ঠা নং-১৪</t>
  </si>
  <si>
    <t xml:space="preserve">উপ-পরিচালক,বানিজ্যিক পরিচালন বিভাগ (বর্তমানে নির্বাহী প্রকৌশলী, বিক্রয় ও বিতরণ বিভাগ, বিউবো, টাংগাইল)। </t>
  </si>
  <si>
    <t>৯৫-৯৬
অনুঃ-১(২)
পৃষ্ঠা নং-১১</t>
  </si>
  <si>
    <t>নির্বাহী প্রকৌশলী, বিক্রয় ও বিতরণ বিভাগ, বিউবো, কালিহাতী, টাংগাইল।</t>
  </si>
  <si>
    <t>২০১০-১১
অনুঃ-২(৫)
পৃষ্ঠা নং (পরি)- ৯,১০ ও ১১</t>
  </si>
  <si>
    <t>মন্ত্রণালয়ের নির্দেশ এবং বিদ্যুতের মূল্য্যহার ও নিয়মাবলী উপেক্ষা করে দীর্ঘদিন বিদ্যুৎ বিল পরিশোধ না করা সত্ত্বেও ৭১জন গ্রাহকের সংযোগ বিচ্ছিন্ন না করে অনিয়মিতভাবে বিদ্যুৎ ব্যবহারের সুযোগ প্রদান করায় সংস্থার রাজস্ব অনাদায়ী।</t>
  </si>
  <si>
    <t>নির্বাহী প্রকৌশলী, বিক্রয় ও বিতরণ বিভাগ-২, বিউবো, টাঙ্গাইল।</t>
  </si>
  <si>
    <t>২০০১-০২
অনুঃ-১</t>
  </si>
  <si>
    <t>২০০২-০৩
অনুঃ-৮(ঘ)
পৃষ্ঠা নং-২৬</t>
  </si>
  <si>
    <t>বিভিন্ন শ্রেনীর গ্রাহকের নিকট বিদ্যুৎ বিল বকেয়া।</t>
  </si>
  <si>
    <t>২০১৭-১৮ অনুঃ-২(২)</t>
  </si>
  <si>
    <t>বিভিন্ন শ্রেণির গ্রাহকদের নিকট হতে বিদ্যুৎ বিল আদায় না করায় বোর্ডের আর্থিক ক্ষতি।</t>
  </si>
  <si>
    <t>২০০৬-০৭
অনুঃ নং-৬</t>
  </si>
  <si>
    <t>২০০৯-১০
অনুঃ-৯(২)
পৃষ্ঠা নং (পরি)-১৫, ১৬ ও ১৭</t>
  </si>
  <si>
    <t>২০১০-১১
অনুঃ-২(৪)
পৃষ্ঠা নং (পরি)-৯</t>
  </si>
  <si>
    <t>মন্ত্রণালয়ের নির্দেশ এবং বিদ্যুতের মূল্য্যহার ও নিয়মাবলী উপেক্ষা করে দীর্ঘদিন বিদ্যুৎ বিল পরিশোধ না করা সত্ত্বেও ২৬ জন গ্রাহকের সংযোগ বিচ্ছিন্ন না করে অনিয়মিতভাবে বিদ্যুৎ ব্যবহারের সুযোগ প্রদান করায় সংস্থার রাজস্ব অনাদায়ী।</t>
  </si>
  <si>
    <t>২০১০-১১
অনুঃ-৬(২)
পৃষ্ঠা নং (পরি)- ২৮ ও ২৯</t>
  </si>
  <si>
    <t>সংযোগ বিচ্ছিন্ন ৭৫ জন গ্রাহকের নিকট বিদ্যুৎ বিল অনাদায়ী।</t>
  </si>
  <si>
    <t>২০১১-১২
অনুঃ-৪(৪)
পৃষ্ঠা নং (পরি)-৬৮</t>
  </si>
  <si>
    <t>নিখোঁজ ১৭ জন গ্রাহকের নিকট বিদ্যুৎ বিল বাবদ অনাদায়ী।</t>
  </si>
  <si>
    <t>২০১৭-১৮ অনুঃ-২(১)</t>
  </si>
  <si>
    <t>বিভিন্ন শ্রেণির ১০১ জন গ্রাহকদের নিকট হতে বিদ্যুৎ বিল আদায় না করায় বোর্ডের আর্থিক ক্ষতি।</t>
  </si>
  <si>
    <t>বিতরণ বিভাগ, বিউবো, টাঙ্গাইল।</t>
  </si>
  <si>
    <t>৮৭-৮৮
অনুঃ-৩</t>
  </si>
  <si>
    <t>৯১-৯২
অনুঃ-৯(৩)
পৃষ্ঠা নং-১০-১১</t>
  </si>
  <si>
    <t>৯৬-৯৭
অনুঃ-১(১)
পৃঃ-১৩</t>
  </si>
  <si>
    <t>উপ-পরিচালক, কেন্দ্রীয় ভান্ডার, বিউবো, ঈশ্বরদী।</t>
  </si>
  <si>
    <t>৯৫-৯৬
অনুঃ-৩(২)
পৃষ্ঠা নং-১২-১৩</t>
  </si>
  <si>
    <t>কেন্দ্রীয় ভান্ডার, বিউবো, ঈশ্বরদী, পাবনা।</t>
  </si>
  <si>
    <t>৮২-৮৩
অনুঃ-২</t>
  </si>
  <si>
    <t>৮৬-৮৭
অনুঃ-৯৬(৩৫)
পৃষ্ঠা-২০৯</t>
  </si>
  <si>
    <t xml:space="preserve">মালামাল চুরি। </t>
  </si>
  <si>
    <t>৮৪-৮৫
অনুঃ-১</t>
  </si>
  <si>
    <t xml:space="preserve">৮৭-৮৮
অনুঃ-৮৭(১৬)
</t>
  </si>
  <si>
    <t xml:space="preserve">পারচেজ অর্ডার অনুযায়ী মালামাল কম গৃহীত। </t>
  </si>
  <si>
    <t xml:space="preserve">ব্যবস্থাপক,
কাটাখালী ৫০ মেঃ ওঃ পিকিং বিদ্যুৎ কেন্দ্র,
বিউবো, রাজশাহী। </t>
  </si>
  <si>
    <t xml:space="preserve">ব্যবস্থাপক,
সান্তাহার ১০০ মেঃ ওঃ পিকিং বিদ্যুৎ কেন্দ্র,
বিউবো, বগুড়া। </t>
  </si>
  <si>
    <t>ব্যবস্থাপক, ২০ মেঃ ওঃ গ্যাস টারবাইন বিদ্যুৎ উৎপাদন কেন্দ্র, বিউবো, সৈয়দপুর, নীলফামারী।</t>
  </si>
  <si>
    <t>৮৭-৮৮
অনুঃ-১</t>
  </si>
  <si>
    <t>৯২-৯৩
অনুঃ-৯(১)
পৃষ্ঠা নং-১৭-১৮</t>
  </si>
  <si>
    <t>তৈলের মূল্য বাবদ অতিরিক্ত পরিশোধ।</t>
  </si>
  <si>
    <t>৯২-৯৩
অনুঃ-৯(২)
পৃষ্ঠা নং-১৭-১৮</t>
  </si>
  <si>
    <t>৯৩-৯৪
অনুঃ-৭(১)
পৃষ্ঠা নং-৮-১০</t>
  </si>
  <si>
    <t xml:space="preserve">কম প্রাপ্ত তৈলের মূল্য বাবদ অতিরিক্ত পরিশোধ। </t>
  </si>
  <si>
    <t>৯৩-৯৪
অনুঃ-৭(২)
পৃষ্ঠা নং-৮-১০</t>
  </si>
  <si>
    <t>ব্যবস্থাপক, ২০ মেঃ ওঃ গ্যাস টারবাইন বিদ্যুৎ কেন্দ্র, বিউবো, সৈয়দপুর, নীলফামারী।</t>
  </si>
  <si>
    <t>৯৫-৯৬
অনুঃ-৯(২)
পৃষ্ঠা নং-১৬</t>
  </si>
  <si>
    <t>কম তৈল প্রাপ্তি।</t>
  </si>
  <si>
    <t>প্রকল্প পরিচালক, বিদ্যুৎ বিতরণ ব্যবস্থা উন্নয়ন প্রকল্প, বিউবো, রংপুর।</t>
  </si>
  <si>
    <t>২০১৭-১৯ অনুঃ</t>
  </si>
  <si>
    <t>২০১৮-১৯
 অনুঃ২(২)</t>
  </si>
  <si>
    <t>ভূমি অধিগ্রহণের ক্ষতিপূরণ বাবদ পরিশোধিত অর্থের বিপরীতে আনুষঙ্গিক খরচ বাবদ ৩৯,৫৫,৬৬৪ (ঊনচল্লিশ লক্ষ পঞ্চান্ন হাজার ছয়শত চৌষট্টি) টাকা অতিরিক্ত পরিশোধ করায় আর্থিক ক্ষতি।</t>
  </si>
  <si>
    <t>ব্যবস্থাপক, ২০ মেঃ ওঃ গ্যাস টারবাইন বিদ্যুৎ কেন্দ্র, বিউবো,রংপুর।</t>
  </si>
  <si>
    <t>৯৪-৯৫
অনুঃ-৬</t>
  </si>
  <si>
    <t>৯৫-৯৬
অনুঃ-৯(১)
পৃষ্ঠা নং-১৬</t>
  </si>
  <si>
    <t xml:space="preserve">৯০ মেঃ ওঃ কম্বাইন্ড সাইকেল পাওয়ার প্লান্ট প্রকল্প।_x000D_
</t>
  </si>
  <si>
    <t>৯৬-৯৭
অনুঃ-২.০৫-২.০৭</t>
  </si>
  <si>
    <t>৯৬-৯৭
অনুঃ-৩(চ)
পৃষ্ঠা নং-১২</t>
  </si>
  <si>
    <t>ব্যাংক সুদ ও সিডিউল বিক্রয় লব্দ টাকা সরকারী কোষাগারে জমা না করায় ক্ষতি।</t>
  </si>
  <si>
    <t xml:space="preserve">নির্বাহী প্রকৌশলী, 
বিক্রয় ও বিতরণ বিভাগ, হবিগঞ্জ, বিউবো, হবিগঞ্জ।
</t>
  </si>
  <si>
    <t>২০০৪-০৫
অনুঃ-৭(ঢ)
পৃষ্ঠা নং-৪০</t>
  </si>
  <si>
    <t xml:space="preserve">নির্বাহী প্রকৌশলী, বিক্রয় ও বিতরণ বিভাগ,  বিউবো, সুনামগঞ্জ। </t>
  </si>
  <si>
    <t xml:space="preserve">২০০৪-০৫
অনুঃ-৯(ক)
পৃষ্ঠা নং-৭১
</t>
  </si>
  <si>
    <t>পল্লী বিদ্যুৎ সমিতিতে হ¯াšরিত গ্রাহকদের নিকট বিদ্যুৎ বিল বাবদ অনাদায়ী।</t>
  </si>
  <si>
    <t>২০০৫-০৯
অনুঃ নং-২</t>
  </si>
  <si>
    <t>২০০৯-১০
অনুঃ-১০(৫)
পৃষ্ঠা নং (পরি)-২০ ও ২১</t>
  </si>
  <si>
    <t>সংযোগ বিচ্ছিন্ন গ্রাহকদের নিকট বকেয়া।</t>
  </si>
  <si>
    <t>ব্যবস্থাপক, শাহজীবাজার বিদ্যুৎ উৎপাদন কেন্দ্র, বিউবো, হবিগঞ্জ।</t>
  </si>
  <si>
    <t>৯০-৯১
অনুঃ-১২
পৃষ্ঠা-৯</t>
  </si>
  <si>
    <t xml:space="preserve">বিক্রয় ও বিতরণ বিভাগ-বিউবো, মৌলভীবাজার (সাবেক আজমিরীগঞ্জ) মৌলভীবাজার। </t>
  </si>
  <si>
    <t>৮২-৮৩
অনুঃ-১</t>
  </si>
  <si>
    <t xml:space="preserve">৮৫-৮৬
অনুঃ-৯৬(১২)
</t>
  </si>
  <si>
    <t>মালামাল ঘাটতির দরুন ক্ষতি।</t>
  </si>
  <si>
    <t>নির্বাহী প্রকৌশলী, বিক্রয় ও বিতরণ বিভাগ- কুলাউড়া, বিউবো, মৌলভীবাজার।</t>
  </si>
  <si>
    <t>২০০২-০৩
অনুঃ-৩</t>
  </si>
  <si>
    <t>২০০২-০৩
অনুঃ-১৭(১)
পৃষ্ঠা নং-৫৪</t>
  </si>
  <si>
    <t>বিদ্যুৎ বিল নির্ধারিত হারের চেয়ে কম  করায় ক্ষতি।</t>
  </si>
  <si>
    <t>২০০২-০৩
অনুঃ-৮(চ)
পৃষ্ঠা নং-২৬</t>
  </si>
  <si>
    <t>২০১০-১১
অনুঃ-৩(৫)
পৃষ্ঠা নং (পরি)-২১</t>
  </si>
  <si>
    <t>নিখোঁজ ২০ জন গ্রাহকের নিকট অনাদায়জনিত সরকারের রাজস্ব ক্ষতি।</t>
  </si>
  <si>
    <t>২০১০-১১
অনুঃ-৪(৪)
পৃষ্ঠা নং (পরি)-২৩</t>
  </si>
  <si>
    <t>২০১০-১১
অনুঃ-৬(৩)
পৃষ্ঠা নং (পরি)-৩০ ও ৩১</t>
  </si>
  <si>
    <t>সংযোগ বিচ্ছিন্ন ১০৫ জন গ্রাহকের নিকট বিদ্যুৎ বিল অনাদায়ী।</t>
  </si>
  <si>
    <t>২০১১-১২
অনুঃ-৩(৭)
পৃষ্ঠা নং (পরি)-৫১ হইতে ৫৪</t>
  </si>
  <si>
    <t>সংযোগ বিচ্ছিন্ন ১১৮ জন গ্রাহকের নিকট বিদ্যুৎ বিল অনাদায়জনিত বিউবো’র রাজস্ব ক্ষতি।</t>
  </si>
  <si>
    <t>২০১১-১২
অনুঃ-৪(৩)
পৃষ্ঠা নং (পরি)-৬৭</t>
  </si>
  <si>
    <t>নিখোঁজ ২২ জন গ্রাহকের নিকট বিদ্যুৎ বিল বাবদ অনাদায়ী।</t>
  </si>
  <si>
    <t>৯১-৯৪
অনুঃ-৭</t>
  </si>
  <si>
    <t>৯৫-৯৬
অনুঃ-৩(৭)
পৃষ্ঠা নং-১২-১৩</t>
  </si>
  <si>
    <t>২০০০-০১
অনুঃ-৫</t>
  </si>
  <si>
    <t>২০০০-০১ 
অনুঃ-১(৭) 
পৃষ্ঠা নং-১২</t>
  </si>
  <si>
    <t xml:space="preserve">২০০০-০১
 অনুঃ-২(১)
পৃষ্ঠা-২৫
</t>
  </si>
  <si>
    <t>২০০০-০১
অনুঃ-৬</t>
  </si>
  <si>
    <t>২০০০-০১
অনুঃ-৪(৩)
পৃঃ-৪০</t>
  </si>
  <si>
    <t>আয়কর কম কর্তন করায় রাজস্ব ক্ষতি।</t>
  </si>
  <si>
    <t>২০০২-০৩
অনুঃ-৫</t>
  </si>
  <si>
    <t>২০০২-০৩
অনুঃ-১৪(২)
পৃষ্ঠা নং-৪৮</t>
  </si>
  <si>
    <t>জামানত কম আদায়।</t>
  </si>
  <si>
    <t xml:space="preserve">২০০৩-০৪
অনুঃ-১৭(গ)
পৃষ্ঠা নং-৭৫ </t>
  </si>
  <si>
    <t>সিষ্টেমলস অপেক্ষা অতিরিক্ত বিদ্যুৎ শক্তি অপচয়ে ক্ষতি।</t>
  </si>
  <si>
    <t>২০০৪-০৫
অনুঃ নং- ৮</t>
  </si>
  <si>
    <t>২০০৪-০৫
অনুঃ-৮(চ)
পৃষ্ঠা নং-৪৬, ৪৭,৪৮</t>
  </si>
  <si>
    <t>২০০৯-১০
অনুঃ-১০(১)
পৃষ্ঠা নং (পরি)-১৮ ও ১৯</t>
  </si>
  <si>
    <t>৯৭-৯৮
অনুঃ-২(৪)
পৃষ্ঠা নং-১২</t>
  </si>
  <si>
    <t>৯৪-৯৯
অনুঃ-৫</t>
  </si>
  <si>
    <t>৯৮-৯৯
অনুঃ-২(১) 
পৃষ্ঠা নং-১৯</t>
  </si>
  <si>
    <t>বিদ্যুৎ বিভাগের নিয়ন্ত্রণাধীন বাংলাদেশ বিদ্যুৎ উন্নয়ন বোর্ড কর্তৃক কুয়েতের অর্থায়নে বাস্তবায়িত শাহজীবাজার ৬০ মেঃ ওঃ বিদ্যুৎ কেন্দ্র প্রকল্প।</t>
  </si>
  <si>
    <t>১৯৯৯-২০০০
অনু-২.০১</t>
  </si>
  <si>
    <t>২০০০-০১
অনু-১৪
পৃষ্ঠা নং-১৭,১৮,১৯</t>
  </si>
  <si>
    <t>সরকারী ক্রয সংক্রান্ত বিধিমালা যথাযথভাবে অনুসরণ না করিয়া নন রেসপনসিভ দরদাতার সংগে ১,০৮,১৪,০০০/- টাকার চুক্তি স্বাক্ষর ও অনিয়মিতভাবে কার্যাদেশ প্রদান।</t>
  </si>
  <si>
    <t>১৯৯৯-২০০০
অনু-২.০৩</t>
  </si>
  <si>
    <t>২০০০-০১
অনু-১৫
পৃষ্ঠা নং-১৯</t>
  </si>
  <si>
    <t>চুক্তির শর্ত মোতাবেক ফ্রান্সের তৈরী ট্রান্সফরমারের সরবরাহ না করিয়া ক্রোয়েশিয়ার তৈরী ট্রান্সফরমার সরবরাহ করায়  ৫,৫৫,৫৪,৭৫২/- টাকা গুরুতর অনিয়ম।</t>
  </si>
  <si>
    <t>দিরাই বিদ্যুৎ সরবরাহ, বিউবো, দিরাই, সুনামগঞ্জ।</t>
  </si>
  <si>
    <t>৯৫-৯৬
অনুঃ-১(৪)
পৃষ্ঠা নং-১১</t>
  </si>
  <si>
    <t>২০০৪-০৫
অনুঃ-৭(ড)
পৃষ্ঠা নং-৩৯</t>
  </si>
  <si>
    <t>৯২-৯৬
অনুঃ-৩</t>
  </si>
  <si>
    <t>৯৬-৯৭
অনুঃ-২(৪)
পৃষ্ঠা নং-১৪</t>
  </si>
  <si>
    <t>২০১৮-১৯  অনুঃ১(৩)</t>
  </si>
  <si>
    <t>নির্ধারিত লক্ষ্যমাত্রার মধ্যে সিস্টেম লস সীমিত রাখতে ব্যর্থতার দরুন সরকারের ৮,৫২,৩৩,২২৪ (আট কোটি বায়ান্ন লক্ষ তেত্রিশ হাজার দুইশত চব্বিশ টাকা) টাকা আর্থিক ক্ষতি।</t>
  </si>
  <si>
    <t xml:space="preserve">জৈন্তাপুর বিদ্যুৎ সরবরাহ, বিউবো, সিলেট। </t>
  </si>
  <si>
    <t>৮৫-৮৭
অনুঃ-৫</t>
  </si>
  <si>
    <t>৯১-৯২
অনুঃ-১১(৩)
পৃষ্ঠা নং-১২-১৩</t>
  </si>
  <si>
    <t>নির্বাহী প্রকৌশলী, বিক্রয় ও বিতরণ বিভাগ-১, বিউবো, সিলেট। (সাবেক (পওস সার্কেল))</t>
  </si>
  <si>
    <t>২০০০-০১
অনুঃ-৮</t>
  </si>
  <si>
    <t>২০০০-০১
অনুঃ নং-১(৬)
পৃষ্ঠা নং-১২</t>
  </si>
  <si>
    <t>২০০২-০৩
অনুঃ-১০(ক)
পৃষ্ঠা নং-৪৩</t>
  </si>
  <si>
    <t>বকেয়া টাকা অনাদায়ী।</t>
  </si>
  <si>
    <t>২০০৩-০৪
অনুঃ-১৭(খ) 
পৃষ্ঠা নং-৭৪</t>
  </si>
  <si>
    <t>সিষ্টেমলসের নামে বিদ্যুৎ শক্তির অপচয়।</t>
  </si>
  <si>
    <t>২০০৪-০৫
অনুঃ-৭(ঘ)
পৃষ্ঠা নং-৩০</t>
  </si>
  <si>
    <t>২০০৪-০৫
অনুঃ-৮(ঠ)
পৃষ্ঠা নং-৬৭,
৬৮,৬৯</t>
  </si>
  <si>
    <t>২০০৯-১০
অনুঃ-৯(১)
পৃষ্ঠা নং (পরি)-১৩ ও ১৪</t>
  </si>
  <si>
    <t>নিখোঁজ গ্রাহকের নিকট টাকা অনাদায় জনিত সরকারের রাজস্ব ক্ষতি।
মূল্য আই.আর এ ১১,৫৩,৩৬২/- টাকা।</t>
  </si>
  <si>
    <t>২০১০-১১
অনুঃ-২(৭)
পৃষ্ঠা নং (পরি)-১২</t>
  </si>
  <si>
    <t>মন্ত্রণালয়ের নির্দেশ এবং বিদ্যুতের মূল্য্যহার ও নিয়মাবলী উপেক্ষা করে দীর্ঘদিন বিদ্যুৎ বিল পরিশোধ না করা সত্ত্বেও ৩৪ জন গ্রাহকের সংযোগ বিচ্ছিন্ন না করে অনিয়মিতভাবে বিদ্যুৎ ব্যবহারের সুযোগ প্রদান করায় সংস্থার রাজস্ব অনাদায়ী।</t>
  </si>
  <si>
    <t>৯১-৯২
অনুঃ-১১</t>
  </si>
  <si>
    <t>৯৫-৯৬
অনুঃ-২৩
পৃষ্ঠা নং-২১</t>
  </si>
  <si>
    <t xml:space="preserve">রেষ্ট হাউস ভাড়া অনাদায়ী। </t>
  </si>
  <si>
    <t>৯১-৯২
অনুঃ-৯</t>
  </si>
  <si>
    <t>৯৫-৯৬
অনুঃ-২৫
পৃষ্ঠা নং-২২</t>
  </si>
  <si>
    <t xml:space="preserve">পরিবহন ঠিকাদারকে অতিরিক্ত পরিশোধ। </t>
  </si>
  <si>
    <t>৯৪-৯৭
অনুঃ-৮</t>
  </si>
  <si>
    <t xml:space="preserve">৯৭-৯৮
অনুঃ-১১(২)
পৃষ্ঠা নং-২২ </t>
  </si>
  <si>
    <t>২০০০-০১
অনুঃ-২(৩)
পৃষ্ঠা-২৫</t>
  </si>
  <si>
    <t>২০০০-০১
অনুঃ-৮(২)
পৃষ্ঠা নং-৫০</t>
  </si>
  <si>
    <t>২০০৪-০৫
অনুঃ-৭(খ)
পৃষ্ঠা নং-২৮</t>
  </si>
  <si>
    <t>২০০৯-১০
অনুঃ-১১(৭)
পৃষ্ঠা নং (পরি)-২৯</t>
  </si>
  <si>
    <t>২০১০-১১
অনুঃ-৩(৩)
পৃষ্ঠা নং (পরি)-২০</t>
  </si>
  <si>
    <t>নিখোঁজ ২৫ জন গ্রাহকের নিকট অনাদায়জনিত সরকারের রাজস্ব ক্ষতি।</t>
  </si>
  <si>
    <t>২০১০-১১
অনুঃ-৬(১)
পৃষ্ঠা নং (পরি)-২৬, ২৭ ও ২৮</t>
  </si>
  <si>
    <t>সংযোগ বিচ্ছিন্ন ১০২ জন গ্রাহকের নিকট বিদ্যুৎ বিল অনাদায়ী।</t>
  </si>
  <si>
    <t>২০১১-১২
অনুঃ-৭(৩)
পৃষ্ঠা নং (পরি)-৮১</t>
  </si>
  <si>
    <t>৯৫-৯৬
অনুঃ-১(১২)
পৃষ্ঠা নং-১১</t>
  </si>
  <si>
    <t>২০০২-০৩
অনুঃ-৯(খ)
পৃষ্ঠা নং-৩৫</t>
  </si>
  <si>
    <t>২০০৪-০৫
অনুঃ নং-৩</t>
  </si>
  <si>
    <t>২০০৪-০৫
অনুঃ-৭(গ)
পৃষ্ঠা নং-২৯</t>
  </si>
  <si>
    <t>২০০৯-১০
অনুঃ-১০(২)
পৃষ্ঠা নং (পরি)-১৯</t>
  </si>
  <si>
    <t>২০১০-১১
অনুঃ-৬(৯)
পৃষ্ঠা নং (পরি)-৪৭ হইতে ৪৯</t>
  </si>
  <si>
    <t>সংযোগ বিচ্ছিন্ন ১২১ জন গ্রাহকের নিকট বিদ্যুৎ বিল অনাদায়ী।</t>
  </si>
  <si>
    <t>২০১৮-১৯  অনুঃ১(১)</t>
  </si>
  <si>
    <t>২০০৯-১০
অনুঃ-৩(৯)
পৃষ্ঠা নং (পরি) -৫</t>
  </si>
  <si>
    <t>নির্ধারিত লক্ষ্যমাত্রার মধ্যে সিষ্টেম লস সীমিত রাখতে ব্যর্থতার দরুন সরকারের ক্ষতি।</t>
  </si>
  <si>
    <t>২০১১-১২
অনুঃ-৬(২)
পৃষ্ঠা নং (পরি)-৭৭ হইতে ৭৮</t>
  </si>
  <si>
    <t>২০১৮-১৯  অনুঃ১(২)</t>
  </si>
  <si>
    <t>২০১৮-১৯  অনুঃ২(১)</t>
  </si>
  <si>
    <t>ব্যবস্থাপক, ২০ মেঃ ওঃ গ্যাস টারবাইন বিদ্যুৎ কেন্দ্র, বিউবো, কুমারগাঁও, সিলেট।</t>
  </si>
  <si>
    <t>৯৫-৯৬
অনুঃ-১৮
পৃষ্ঠা নং-১৯</t>
  </si>
  <si>
    <t xml:space="preserve">বাজেট বরাদ্দের অতিরিক্ত ব্যয়। </t>
  </si>
  <si>
    <t>বার্ষিক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</si>
</sst>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5000445]0"/>
    <numFmt numFmtId="165" formatCode="[$-5000445]0.#"/>
    <numFmt numFmtId="166" formatCode="[$-5000445]0.##"/>
    <numFmt numFmtId="167" formatCode="_(* #,##0_);_(* \(#,##0\);_(* &quot;-&quot;??_);_(@_)"/>
    <numFmt numFmtId="168" formatCode="0.0000"/>
  </numFmts>
  <fonts count="99">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2"/>
      <name val="NikoshBAN"/>
    </font>
    <font>
      <b/>
      <sz val="11"/>
      <color theme="1"/>
      <name val="NikoshBAN"/>
    </font>
    <font>
      <sz val="12"/>
      <color theme="1" tint="4.9989318521683403E-2"/>
      <name val="NikoshBAN"/>
    </font>
    <font>
      <sz val="12"/>
      <color rgb="FFFF0000"/>
      <name val="NikoshBAN"/>
    </font>
    <font>
      <sz val="12"/>
      <name val="NikoshBAN"/>
    </font>
    <font>
      <sz val="11"/>
      <color theme="1"/>
      <name val="NikoshBAN"/>
    </font>
    <font>
      <sz val="12"/>
      <name val="SutonnyMJ"/>
    </font>
    <font>
      <sz val="12"/>
      <color rgb="FF000000"/>
      <name val="Nikosh"/>
    </font>
    <font>
      <sz val="12"/>
      <color rgb="FF000000"/>
      <name val="NikoshBAN"/>
    </font>
    <font>
      <sz val="12"/>
      <color theme="1"/>
      <name val="Nikosh"/>
    </font>
    <font>
      <sz val="12"/>
      <color theme="1"/>
      <name val="NikoshBAN"/>
    </font>
    <font>
      <sz val="14"/>
      <color theme="1"/>
      <name val="NikoshBAN"/>
    </font>
    <font>
      <sz val="11"/>
      <color theme="1"/>
      <name val="Times New Roman"/>
      <family val="1"/>
    </font>
    <font>
      <sz val="10"/>
      <color theme="1"/>
      <name val="NikoshBAN"/>
    </font>
    <font>
      <b/>
      <sz val="13"/>
      <color theme="1"/>
      <name val="NikoshBAN"/>
    </font>
    <font>
      <sz val="13"/>
      <color theme="1"/>
      <name val="NikoshBAN"/>
    </font>
    <font>
      <b/>
      <sz val="12"/>
      <color rgb="FF000000"/>
      <name val="NikoshBAN"/>
    </font>
    <font>
      <b/>
      <sz val="12"/>
      <color theme="1"/>
      <name val="NikoshBAN"/>
    </font>
    <font>
      <b/>
      <sz val="12"/>
      <color rgb="FF444444"/>
      <name val="NikoshBAN"/>
    </font>
    <font>
      <b/>
      <sz val="10"/>
      <color theme="1"/>
      <name val="NikoshBAN"/>
    </font>
    <font>
      <sz val="12"/>
      <color rgb="FF030D2C"/>
      <name val="NikoshBAN"/>
    </font>
    <font>
      <sz val="10"/>
      <color rgb="FF000000"/>
      <name val="NikoshBAN"/>
    </font>
    <font>
      <sz val="10"/>
      <color rgb="FF030D2C"/>
      <name val="NikoshBAN"/>
    </font>
    <font>
      <b/>
      <sz val="14"/>
      <name val="SutonnyMJ"/>
    </font>
    <font>
      <sz val="11"/>
      <color theme="1"/>
      <name val="SutonnyMJ"/>
    </font>
    <font>
      <b/>
      <sz val="12"/>
      <color indexed="8"/>
      <name val="NikoshBAN"/>
    </font>
    <font>
      <b/>
      <sz val="14"/>
      <color indexed="8"/>
      <name val="NikoshBAN"/>
    </font>
    <font>
      <b/>
      <sz val="14"/>
      <color theme="1"/>
      <name val="NikoshBAN"/>
    </font>
    <font>
      <sz val="9"/>
      <color rgb="FF000000"/>
      <name val="NikoshBAN"/>
    </font>
    <font>
      <b/>
      <sz val="14"/>
      <name val="NikoshBAN"/>
    </font>
    <font>
      <b/>
      <sz val="14"/>
      <color rgb="FFC00000"/>
      <name val="NikoshBAN"/>
    </font>
    <font>
      <sz val="14"/>
      <name val="NikoshBAN"/>
    </font>
    <font>
      <b/>
      <sz val="14"/>
      <color rgb="FFFF0000"/>
      <name val="NikoshBAN"/>
    </font>
    <font>
      <b/>
      <sz val="14"/>
      <color rgb="FF00B050"/>
      <name val="NikoshBAN"/>
    </font>
    <font>
      <b/>
      <sz val="12"/>
      <color rgb="FFC00000"/>
      <name val="NikoshBAN"/>
    </font>
    <font>
      <sz val="11"/>
      <color rgb="FF000000"/>
      <name val="NikoshBAN"/>
    </font>
    <font>
      <sz val="11"/>
      <color indexed="8"/>
      <name val="Calibri"/>
      <family val="2"/>
    </font>
    <font>
      <b/>
      <sz val="20"/>
      <color theme="1"/>
      <name val="NikoshBAN"/>
    </font>
    <font>
      <b/>
      <sz val="16"/>
      <color theme="1"/>
      <name val="NikoshBAN"/>
    </font>
    <font>
      <sz val="8"/>
      <color theme="1"/>
      <name val="SutonnyMJ"/>
    </font>
    <font>
      <sz val="8"/>
      <color theme="1"/>
      <name val="SutonnyMJ"/>
      <family val="1"/>
    </font>
    <font>
      <sz val="8"/>
      <color indexed="8"/>
      <name val="Times New Roman"/>
      <family val="1"/>
    </font>
    <font>
      <sz val="8"/>
      <color indexed="8"/>
      <name val="SutonnyMJ"/>
    </font>
    <font>
      <sz val="9"/>
      <color theme="1"/>
      <name val="NikoshBAN"/>
    </font>
    <font>
      <sz val="14"/>
      <color theme="1"/>
      <name val="SutonnyMJ"/>
    </font>
    <font>
      <sz val="10"/>
      <name val="SutonnyMJ"/>
    </font>
    <font>
      <sz val="9"/>
      <name val="SutonnyMJ"/>
    </font>
    <font>
      <sz val="11"/>
      <color rgb="FFFF0000"/>
      <name val="SutonnyMJ"/>
    </font>
    <font>
      <sz val="14"/>
      <name val="SutonnyMJ"/>
    </font>
    <font>
      <sz val="9"/>
      <name val="NikoshBAN"/>
    </font>
    <font>
      <sz val="10"/>
      <name val="NikoshBAN"/>
    </font>
    <font>
      <sz val="10"/>
      <color rgb="FFFF0000"/>
      <name val="NikoshBAN"/>
    </font>
    <font>
      <b/>
      <sz val="10"/>
      <name val="SutonnyMJ"/>
    </font>
    <font>
      <b/>
      <sz val="9"/>
      <color theme="1"/>
      <name val="SutonnyMJ"/>
    </font>
    <font>
      <b/>
      <sz val="11"/>
      <name val="SutonnyMJ"/>
    </font>
    <font>
      <b/>
      <sz val="11"/>
      <color theme="1"/>
      <name val="SutonnyMJ"/>
    </font>
    <font>
      <sz val="11"/>
      <name val="NikoshBAN"/>
    </font>
    <font>
      <sz val="10"/>
      <color theme="1"/>
      <name val="NikS"/>
    </font>
    <font>
      <sz val="10"/>
      <name val="Nikosh"/>
    </font>
    <font>
      <sz val="10"/>
      <color theme="1"/>
      <name val="Nikosh"/>
    </font>
    <font>
      <sz val="10"/>
      <color rgb="FF000000"/>
      <name val="Nikosh"/>
    </font>
    <font>
      <sz val="9"/>
      <name val="Nikosh"/>
    </font>
    <font>
      <sz val="9"/>
      <color theme="1"/>
      <name val="Nikosh"/>
    </font>
    <font>
      <sz val="9.5"/>
      <color rgb="FF000000"/>
      <name val="Nikosh"/>
    </font>
    <font>
      <b/>
      <sz val="10"/>
      <name val="NikoshBAN"/>
    </font>
    <font>
      <sz val="11"/>
      <color theme="1"/>
      <name val="Nikosh"/>
    </font>
    <font>
      <b/>
      <sz val="16"/>
      <color theme="1"/>
      <name val="Nikosh"/>
    </font>
    <font>
      <sz val="16"/>
      <color theme="1"/>
      <name val="Nikosh"/>
    </font>
    <font>
      <b/>
      <sz val="14"/>
      <color theme="1"/>
      <name val="Nikosh"/>
    </font>
    <font>
      <sz val="14"/>
      <color theme="1"/>
      <name val="Nikosh"/>
    </font>
    <font>
      <b/>
      <sz val="11"/>
      <color theme="1"/>
      <name val="Nikosh"/>
    </font>
    <font>
      <b/>
      <sz val="11"/>
      <name val="Nikosh"/>
    </font>
    <font>
      <sz val="11"/>
      <name val="Nikosh"/>
    </font>
    <font>
      <sz val="16"/>
      <color theme="1"/>
      <name val="SutonnyMJ"/>
    </font>
    <font>
      <sz val="9"/>
      <name val="Times New Roman"/>
      <family val="1"/>
    </font>
    <font>
      <b/>
      <sz val="9"/>
      <name val="Nikosh"/>
    </font>
    <font>
      <sz val="9"/>
      <name val="SutonnyOMJ"/>
    </font>
    <font>
      <sz val="9"/>
      <name val="Calibri"/>
      <family val="2"/>
      <scheme val="minor"/>
    </font>
    <font>
      <sz val="11"/>
      <name val="SutonnyMJ"/>
    </font>
    <font>
      <sz val="11"/>
      <color rgb="FF030D2C"/>
      <name val="NikoshBAN"/>
    </font>
    <font>
      <sz val="12"/>
      <name val="Nikosh"/>
    </font>
    <font>
      <sz val="11"/>
      <color theme="1"/>
      <name val="Bangla"/>
      <family val="4"/>
    </font>
    <font>
      <sz val="10"/>
      <color theme="1"/>
      <name val="Bangla"/>
      <family val="4"/>
    </font>
    <font>
      <sz val="12"/>
      <name val="SutonnySushreeMJ"/>
    </font>
    <font>
      <sz val="11"/>
      <name val="Calibri"/>
      <family val="2"/>
    </font>
    <font>
      <sz val="12"/>
      <color theme="1"/>
      <name val="Bangla"/>
      <family val="4"/>
    </font>
    <font>
      <sz val="11"/>
      <color rgb="FF000000"/>
      <name val="Nikosh"/>
    </font>
    <font>
      <sz val="12"/>
      <color theme="1"/>
      <name val="SutonnyMJ"/>
    </font>
    <font>
      <sz val="11"/>
      <color theme="1"/>
      <name val="SumeshwariMJ"/>
    </font>
    <font>
      <sz val="12"/>
      <color theme="1"/>
      <name val="Calibri"/>
      <family val="2"/>
      <scheme val="minor"/>
    </font>
    <font>
      <sz val="11"/>
      <color theme="1"/>
      <name val="Calibri"/>
      <family val="2"/>
    </font>
    <font>
      <b/>
      <sz val="11"/>
      <color theme="1"/>
      <name val="Bangla"/>
      <family val="4"/>
    </font>
    <font>
      <sz val="12"/>
      <color indexed="8"/>
      <name val="NikoshBAN"/>
    </font>
    <font>
      <i/>
      <sz val="12"/>
      <color theme="1"/>
      <name val="NikoshBAN"/>
    </font>
  </fonts>
  <fills count="6">
    <fill>
      <patternFill patternType="none"/>
    </fill>
    <fill>
      <patternFill patternType="gray125"/>
    </fill>
    <fill>
      <patternFill patternType="solid">
        <fgColor rgb="FF66FFFF"/>
        <bgColor indexed="64"/>
      </patternFill>
    </fill>
    <fill>
      <patternFill patternType="solid">
        <fgColor indexed="9"/>
        <bgColor indexed="64"/>
      </patternFill>
    </fill>
    <fill>
      <patternFill patternType="solid">
        <fgColor theme="0"/>
        <bgColor indexed="64"/>
      </patternFill>
    </fill>
    <fill>
      <patternFill patternType="solid">
        <fgColor theme="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0" fontId="41" fillId="0" borderId="0"/>
  </cellStyleXfs>
  <cellXfs count="401">
    <xf numFmtId="0" fontId="0" fillId="0" borderId="0" xfId="0"/>
    <xf numFmtId="0" fontId="5" fillId="0" borderId="1" xfId="0" applyFont="1" applyBorder="1" applyAlignment="1">
      <alignment horizontal="center" vertical="center" wrapText="1"/>
    </xf>
    <xf numFmtId="0" fontId="6" fillId="0" borderId="1" xfId="0" applyFont="1" applyBorder="1" applyAlignment="1">
      <alignment horizontal="center" vertical="center"/>
    </xf>
    <xf numFmtId="0" fontId="10" fillId="0" borderId="1" xfId="0" applyFont="1" applyBorder="1" applyAlignment="1">
      <alignment horizontal="center" wrapText="1"/>
    </xf>
    <xf numFmtId="0" fontId="10" fillId="0" borderId="1" xfId="0" applyFont="1" applyBorder="1"/>
    <xf numFmtId="0" fontId="10" fillId="0" borderId="1" xfId="0" applyFont="1" applyBorder="1" applyAlignment="1">
      <alignment vertical="top" wrapText="1"/>
    </xf>
    <xf numFmtId="0" fontId="10" fillId="0" borderId="1" xfId="0" applyFont="1" applyBorder="1" applyAlignment="1">
      <alignment wrapText="1"/>
    </xf>
    <xf numFmtId="43" fontId="9" fillId="0" borderId="1" xfId="1" applyFont="1" applyFill="1" applyBorder="1" applyAlignment="1">
      <alignment horizontal="center" vertical="center" wrapText="1"/>
    </xf>
    <xf numFmtId="0" fontId="2" fillId="0" borderId="0" xfId="0" applyFont="1"/>
    <xf numFmtId="0" fontId="10" fillId="0" borderId="1" xfId="0" applyFont="1" applyBorder="1" applyAlignment="1">
      <alignment horizontal="center" vertical="center" wrapText="1"/>
    </xf>
    <xf numFmtId="0" fontId="10" fillId="0" borderId="0" xfId="0" applyFont="1"/>
    <xf numFmtId="0" fontId="10" fillId="0" borderId="0" xfId="0" applyFont="1" applyAlignment="1">
      <alignment vertical="center"/>
    </xf>
    <xf numFmtId="0" fontId="16" fillId="0" borderId="4" xfId="0" applyFont="1" applyBorder="1" applyAlignment="1">
      <alignment horizontal="center" wrapText="1"/>
    </xf>
    <xf numFmtId="0" fontId="10" fillId="0" borderId="1" xfId="0" applyFont="1" applyBorder="1" applyAlignment="1">
      <alignment horizontal="center" vertical="center"/>
    </xf>
    <xf numFmtId="0" fontId="17" fillId="0" borderId="1" xfId="0" applyFont="1" applyBorder="1" applyAlignment="1">
      <alignment horizontal="center" vertical="center"/>
    </xf>
    <xf numFmtId="0" fontId="18" fillId="0" borderId="1" xfId="0" applyFont="1" applyBorder="1" applyAlignment="1">
      <alignment horizontal="center" vertical="center" wrapText="1"/>
    </xf>
    <xf numFmtId="0" fontId="10" fillId="0" borderId="5" xfId="0" applyFont="1" applyBorder="1" applyAlignment="1">
      <alignment horizontal="center" vertical="center" wrapText="1"/>
    </xf>
    <xf numFmtId="0" fontId="0" fillId="0" borderId="0" xfId="0" applyAlignment="1">
      <alignment vertical="center"/>
    </xf>
    <xf numFmtId="0" fontId="6" fillId="0" borderId="1" xfId="0" applyFont="1" applyBorder="1" applyAlignment="1">
      <alignment horizontal="center" vertical="center" wrapText="1"/>
    </xf>
    <xf numFmtId="0" fontId="10" fillId="0" borderId="1" xfId="0" applyFont="1" applyBorder="1" applyAlignment="1">
      <alignment horizontal="center"/>
    </xf>
    <xf numFmtId="0" fontId="20" fillId="0" borderId="1" xfId="0" applyFont="1" applyBorder="1" applyAlignment="1">
      <alignment vertical="center" wrapText="1"/>
    </xf>
    <xf numFmtId="167" fontId="20" fillId="0" borderId="1" xfId="1" applyNumberFormat="1" applyFont="1" applyBorder="1" applyAlignment="1">
      <alignment horizontal="center" vertical="center" wrapText="1"/>
    </xf>
    <xf numFmtId="167" fontId="20" fillId="0" borderId="1" xfId="1" applyNumberFormat="1" applyFont="1" applyFill="1" applyBorder="1" applyAlignment="1">
      <alignment horizontal="center" vertical="center" wrapText="1"/>
    </xf>
    <xf numFmtId="167" fontId="20" fillId="0" borderId="6" xfId="1" applyNumberFormat="1" applyFont="1" applyFill="1" applyBorder="1" applyAlignment="1">
      <alignment horizontal="center" vertical="center" wrapText="1"/>
    </xf>
    <xf numFmtId="167" fontId="10" fillId="0" borderId="1" xfId="0" applyNumberFormat="1" applyFont="1" applyBorder="1" applyAlignment="1">
      <alignment horizontal="center"/>
    </xf>
    <xf numFmtId="0" fontId="0" fillId="0" borderId="0" xfId="0" applyAlignment="1">
      <alignment horizontal="center"/>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9" fillId="0" borderId="1" xfId="0" applyFont="1" applyBorder="1" applyAlignment="1">
      <alignment horizontal="left" vertical="center" wrapText="1"/>
    </xf>
    <xf numFmtId="167" fontId="5" fillId="0" borderId="1" xfId="1" applyNumberFormat="1" applyFont="1" applyBorder="1" applyAlignment="1">
      <alignment horizontal="center" vertical="center"/>
    </xf>
    <xf numFmtId="164" fontId="9" fillId="0" borderId="1" xfId="0" applyNumberFormat="1" applyFont="1" applyBorder="1" applyAlignment="1">
      <alignment horizontal="center" vertical="center"/>
    </xf>
    <xf numFmtId="164" fontId="9" fillId="0" borderId="1" xfId="0" applyNumberFormat="1" applyFont="1" applyBorder="1" applyAlignment="1">
      <alignment horizontal="center" vertical="center" wrapText="1"/>
    </xf>
    <xf numFmtId="167" fontId="5" fillId="0" borderId="1" xfId="1" applyNumberFormat="1" applyFont="1" applyBorder="1" applyAlignment="1">
      <alignment horizontal="center" vertical="center" wrapText="1"/>
    </xf>
    <xf numFmtId="0" fontId="13" fillId="0" borderId="1" xfId="0" applyFont="1" applyBorder="1" applyAlignment="1">
      <alignment horizontal="center" vertical="center"/>
    </xf>
    <xf numFmtId="164" fontId="15" fillId="0" borderId="1" xfId="0" applyNumberFormat="1" applyFont="1" applyBorder="1" applyAlignment="1">
      <alignment horizontal="center" vertical="center" wrapText="1"/>
    </xf>
    <xf numFmtId="0" fontId="13" fillId="0" borderId="1" xfId="0" applyFont="1" applyBorder="1" applyAlignment="1">
      <alignment horizontal="left" vertical="center" wrapText="1"/>
    </xf>
    <xf numFmtId="0" fontId="15" fillId="0" borderId="1" xfId="0" applyFont="1" applyBorder="1" applyAlignment="1">
      <alignment horizontal="center" vertical="center" wrapText="1"/>
    </xf>
    <xf numFmtId="164" fontId="15" fillId="0" borderId="1" xfId="0" applyNumberFormat="1" applyFont="1" applyBorder="1" applyAlignment="1">
      <alignment horizontal="center" vertical="center"/>
    </xf>
    <xf numFmtId="0" fontId="15" fillId="0" borderId="1" xfId="0" applyFont="1" applyBorder="1" applyAlignment="1">
      <alignment horizontal="center" vertical="center"/>
    </xf>
    <xf numFmtId="0" fontId="10" fillId="0" borderId="1" xfId="0" applyFont="1" applyBorder="1" applyAlignment="1">
      <alignment horizontal="left" vertical="center" wrapText="1"/>
    </xf>
    <xf numFmtId="0" fontId="10" fillId="0" borderId="1" xfId="0" applyFont="1" applyBorder="1" applyAlignment="1">
      <alignment horizontal="left" vertical="top" wrapText="1"/>
    </xf>
    <xf numFmtId="0" fontId="25" fillId="0" borderId="1" xfId="0" applyFont="1" applyBorder="1" applyAlignment="1">
      <alignment horizontal="left" vertical="center" wrapText="1"/>
    </xf>
    <xf numFmtId="0" fontId="22" fillId="0" borderId="1" xfId="0" applyFont="1" applyBorder="1" applyAlignment="1">
      <alignment horizontal="center" vertical="center"/>
    </xf>
    <xf numFmtId="0" fontId="5" fillId="0" borderId="1" xfId="0" applyFont="1" applyBorder="1" applyAlignment="1">
      <alignment horizontal="center" vertical="center"/>
    </xf>
    <xf numFmtId="164" fontId="22" fillId="0" borderId="1" xfId="0" applyNumberFormat="1" applyFont="1" applyBorder="1" applyAlignment="1">
      <alignment horizontal="center" vertical="center"/>
    </xf>
    <xf numFmtId="164" fontId="10" fillId="0" borderId="1" xfId="0" applyNumberFormat="1" applyFont="1" applyBorder="1" applyAlignment="1">
      <alignment horizontal="center" vertical="center" wrapText="1"/>
    </xf>
    <xf numFmtId="164" fontId="10" fillId="0" borderId="1" xfId="0" applyNumberFormat="1" applyFont="1" applyBorder="1" applyAlignment="1">
      <alignment horizontal="left" vertical="center" wrapText="1"/>
    </xf>
    <xf numFmtId="164" fontId="10" fillId="0" borderId="1" xfId="0" applyNumberFormat="1" applyFont="1" applyBorder="1" applyAlignment="1">
      <alignment horizontal="center" vertical="center"/>
    </xf>
    <xf numFmtId="164" fontId="15" fillId="0" borderId="7" xfId="0" applyNumberFormat="1" applyFont="1" applyBorder="1" applyAlignment="1">
      <alignment horizontal="center" vertical="center" wrapText="1"/>
    </xf>
    <xf numFmtId="43" fontId="15" fillId="0" borderId="4" xfId="1" applyFont="1" applyBorder="1" applyAlignment="1">
      <alignment horizontal="center" vertical="center" wrapText="1"/>
    </xf>
    <xf numFmtId="164" fontId="9" fillId="0" borderId="7" xfId="0" applyNumberFormat="1" applyFont="1" applyBorder="1" applyAlignment="1">
      <alignment horizontal="center" vertical="center" wrapText="1"/>
    </xf>
    <xf numFmtId="43" fontId="9" fillId="0" borderId="4" xfId="1" applyFont="1" applyBorder="1" applyAlignment="1">
      <alignment horizontal="center" vertical="center" wrapText="1"/>
    </xf>
    <xf numFmtId="43" fontId="15" fillId="0" borderId="4" xfId="1" quotePrefix="1" applyFont="1" applyBorder="1" applyAlignment="1">
      <alignment horizontal="center" vertical="center" wrapText="1"/>
    </xf>
    <xf numFmtId="43" fontId="15" fillId="0" borderId="1" xfId="1" applyFont="1" applyBorder="1" applyAlignment="1">
      <alignment horizontal="center" vertical="center" wrapText="1"/>
    </xf>
    <xf numFmtId="164" fontId="18" fillId="0" borderId="7" xfId="0" applyNumberFormat="1" applyFont="1" applyBorder="1" applyAlignment="1">
      <alignment horizontal="center" vertical="center" wrapText="1"/>
    </xf>
    <xf numFmtId="43" fontId="18" fillId="0" borderId="4" xfId="1" applyFont="1" applyBorder="1" applyAlignment="1">
      <alignment horizontal="center" vertical="center" wrapText="1"/>
    </xf>
    <xf numFmtId="0" fontId="10" fillId="0" borderId="6" xfId="0" applyFont="1" applyBorder="1" applyAlignment="1">
      <alignment horizontal="center" vertical="center" wrapText="1"/>
    </xf>
    <xf numFmtId="0" fontId="0" fillId="0" borderId="8" xfId="0" applyBorder="1"/>
    <xf numFmtId="0" fontId="29" fillId="0" borderId="0" xfId="0" applyFont="1"/>
    <xf numFmtId="0" fontId="0" fillId="0" borderId="0" xfId="0" applyAlignment="1">
      <alignment horizontal="center" vertical="center"/>
    </xf>
    <xf numFmtId="0" fontId="10" fillId="0" borderId="12" xfId="0" applyFont="1" applyBorder="1"/>
    <xf numFmtId="0" fontId="30" fillId="0" borderId="14" xfId="0" applyFont="1" applyBorder="1" applyAlignment="1">
      <alignment horizontal="center" vertical="center" wrapText="1"/>
    </xf>
    <xf numFmtId="0" fontId="4" fillId="0" borderId="0" xfId="0" applyFont="1"/>
    <xf numFmtId="0" fontId="30" fillId="0" borderId="5" xfId="0" applyFont="1" applyBorder="1" applyAlignment="1">
      <alignment horizontal="center" vertical="center" wrapText="1"/>
    </xf>
    <xf numFmtId="0" fontId="31" fillId="0" borderId="17" xfId="0" applyFont="1" applyBorder="1" applyAlignment="1">
      <alignment horizontal="center" vertical="center" wrapText="1"/>
    </xf>
    <xf numFmtId="0" fontId="31" fillId="0" borderId="5" xfId="0" applyFont="1" applyBorder="1" applyAlignment="1">
      <alignment horizontal="center" vertical="center" wrapText="1"/>
    </xf>
    <xf numFmtId="0" fontId="31" fillId="0" borderId="19" xfId="0" applyFont="1" applyBorder="1" applyAlignment="1">
      <alignment horizontal="center" vertical="center" wrapText="1"/>
    </xf>
    <xf numFmtId="0" fontId="32" fillId="0" borderId="19" xfId="0" applyFont="1" applyBorder="1" applyAlignment="1">
      <alignment horizontal="center" vertical="center" wrapText="1"/>
    </xf>
    <xf numFmtId="0" fontId="32" fillId="0" borderId="20" xfId="0" applyFont="1" applyBorder="1" applyAlignment="1">
      <alignment horizontal="center" vertical="center" wrapText="1"/>
    </xf>
    <xf numFmtId="0" fontId="32" fillId="0" borderId="21" xfId="0" applyFont="1" applyBorder="1"/>
    <xf numFmtId="164" fontId="16" fillId="0" borderId="22" xfId="0" applyNumberFormat="1" applyFont="1" applyBorder="1" applyAlignment="1">
      <alignment horizontal="center"/>
    </xf>
    <xf numFmtId="0" fontId="33" fillId="0" borderId="1" xfId="0" applyFont="1" applyBorder="1" applyAlignment="1">
      <alignment vertical="center"/>
    </xf>
    <xf numFmtId="0" fontId="34" fillId="0" borderId="7" xfId="0" applyFont="1" applyBorder="1" applyAlignment="1">
      <alignment horizontal="center" vertical="center" wrapText="1"/>
    </xf>
    <xf numFmtId="0" fontId="35" fillId="0" borderId="7" xfId="0" applyFont="1" applyBorder="1" applyAlignment="1">
      <alignment horizontal="center" vertical="center" wrapText="1"/>
    </xf>
    <xf numFmtId="0" fontId="32" fillId="0" borderId="21" xfId="0" applyFont="1" applyBorder="1" applyAlignment="1">
      <alignment horizontal="center"/>
    </xf>
    <xf numFmtId="164" fontId="36" fillId="0" borderId="22" xfId="0" applyNumberFormat="1" applyFont="1" applyBorder="1" applyAlignment="1">
      <alignment horizontal="center"/>
    </xf>
    <xf numFmtId="0" fontId="37" fillId="0" borderId="7" xfId="0" applyFont="1" applyBorder="1" applyAlignment="1">
      <alignment horizontal="center" vertical="center" wrapText="1"/>
    </xf>
    <xf numFmtId="0" fontId="10" fillId="0" borderId="1" xfId="0" applyFont="1" applyBorder="1" applyAlignment="1">
      <alignment vertical="center"/>
    </xf>
    <xf numFmtId="0" fontId="10" fillId="0" borderId="1" xfId="0" applyFont="1" applyBorder="1" applyAlignment="1">
      <alignment vertical="center" wrapText="1"/>
    </xf>
    <xf numFmtId="0" fontId="38" fillId="0" borderId="7" xfId="0" applyFont="1" applyBorder="1" applyAlignment="1">
      <alignment horizontal="center" vertical="center" wrapText="1"/>
    </xf>
    <xf numFmtId="0" fontId="32" fillId="0" borderId="7" xfId="0" applyFont="1" applyBorder="1" applyAlignment="1">
      <alignment horizontal="center" vertical="center"/>
    </xf>
    <xf numFmtId="0" fontId="32" fillId="0" borderId="23" xfId="0" applyFont="1" applyBorder="1"/>
    <xf numFmtId="0" fontId="32" fillId="0" borderId="24" xfId="0" applyFont="1" applyBorder="1"/>
    <xf numFmtId="0" fontId="32" fillId="0" borderId="25" xfId="0" applyFont="1" applyBorder="1" applyAlignment="1">
      <alignment horizontal="center" vertical="center"/>
    </xf>
    <xf numFmtId="0" fontId="39" fillId="0" borderId="25" xfId="0" applyFont="1" applyBorder="1" applyAlignment="1">
      <alignment horizontal="center" vertical="center" wrapText="1"/>
    </xf>
    <xf numFmtId="0" fontId="32" fillId="0" borderId="26" xfId="0" applyFont="1" applyBorder="1" applyAlignment="1">
      <alignment horizontal="center"/>
    </xf>
    <xf numFmtId="0" fontId="10" fillId="0" borderId="5" xfId="0" applyFont="1" applyBorder="1"/>
    <xf numFmtId="0" fontId="10" fillId="0" borderId="5" xfId="0" applyFont="1" applyBorder="1" applyAlignment="1">
      <alignment horizontal="center"/>
    </xf>
    <xf numFmtId="0" fontId="10" fillId="0" borderId="5" xfId="0" applyFont="1" applyBorder="1" applyAlignment="1">
      <alignment horizontal="center" vertical="center"/>
    </xf>
    <xf numFmtId="0" fontId="0" fillId="0" borderId="1" xfId="0" applyBorder="1"/>
    <xf numFmtId="0" fontId="0" fillId="0" borderId="1" xfId="0" applyBorder="1" applyAlignment="1">
      <alignment horizontal="center"/>
    </xf>
    <xf numFmtId="0" fontId="0" fillId="0" borderId="1" xfId="0"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18" fillId="0" borderId="1" xfId="0" applyFont="1" applyBorder="1" applyAlignment="1">
      <alignment horizontal="center" vertical="center"/>
    </xf>
    <xf numFmtId="164" fontId="20" fillId="0" borderId="1" xfId="0" applyNumberFormat="1" applyFont="1" applyBorder="1" applyAlignment="1">
      <alignment horizontal="center" vertical="center"/>
    </xf>
    <xf numFmtId="0" fontId="41" fillId="0" borderId="0" xfId="2"/>
    <xf numFmtId="0" fontId="44" fillId="0" borderId="1" xfId="2" applyFont="1" applyBorder="1" applyAlignment="1">
      <alignment horizontal="center" vertical="top" wrapText="1"/>
    </xf>
    <xf numFmtId="0" fontId="45" fillId="0" borderId="1" xfId="2" applyFont="1" applyBorder="1" applyAlignment="1">
      <alignment horizontal="center" vertical="top" wrapText="1"/>
    </xf>
    <xf numFmtId="164" fontId="48" fillId="0" borderId="1" xfId="2" applyNumberFormat="1" applyFont="1" applyBorder="1" applyAlignment="1">
      <alignment horizontal="center" vertical="top" wrapText="1"/>
    </xf>
    <xf numFmtId="164" fontId="48" fillId="0" borderId="1" xfId="2" applyNumberFormat="1" applyFont="1" applyBorder="1" applyAlignment="1">
      <alignment horizontal="center" vertical="top"/>
    </xf>
    <xf numFmtId="0" fontId="10" fillId="0" borderId="1" xfId="2" applyFont="1" applyBorder="1" applyAlignment="1">
      <alignment horizontal="center" vertical="top" wrapText="1"/>
    </xf>
    <xf numFmtId="0" fontId="29" fillId="0" borderId="1" xfId="2" applyFont="1" applyBorder="1" applyAlignment="1">
      <alignment horizontal="center" vertical="top" wrapText="1"/>
    </xf>
    <xf numFmtId="0" fontId="49" fillId="0" borderId="1" xfId="2" applyFont="1" applyBorder="1" applyAlignment="1">
      <alignment horizontal="center"/>
    </xf>
    <xf numFmtId="0" fontId="50" fillId="0" borderId="1" xfId="2" applyFont="1" applyBorder="1" applyAlignment="1">
      <alignment vertical="top" wrapText="1"/>
    </xf>
    <xf numFmtId="0" fontId="50" fillId="0" borderId="1" xfId="2" applyFont="1" applyBorder="1" applyAlignment="1">
      <alignment horizontal="center" vertical="top" wrapText="1"/>
    </xf>
    <xf numFmtId="164" fontId="51" fillId="0" borderId="1" xfId="2" applyNumberFormat="1" applyFont="1" applyBorder="1" applyAlignment="1">
      <alignment horizontal="center" vertical="top"/>
    </xf>
    <xf numFmtId="0" fontId="29" fillId="0" borderId="1" xfId="2" applyFont="1" applyBorder="1" applyAlignment="1">
      <alignment horizontal="center" vertical="top"/>
    </xf>
    <xf numFmtId="0" fontId="52" fillId="0" borderId="1" xfId="2" applyFont="1" applyBorder="1" applyAlignment="1">
      <alignment horizontal="center" vertical="top"/>
    </xf>
    <xf numFmtId="0" fontId="49" fillId="0" borderId="1" xfId="2" applyFont="1" applyBorder="1"/>
    <xf numFmtId="0" fontId="53" fillId="0" borderId="1" xfId="2" applyFont="1" applyBorder="1" applyAlignment="1">
      <alignment horizontal="center"/>
    </xf>
    <xf numFmtId="164" fontId="54" fillId="0" borderId="1" xfId="2" applyNumberFormat="1" applyFont="1" applyBorder="1" applyAlignment="1">
      <alignment horizontal="center" vertical="top"/>
    </xf>
    <xf numFmtId="0" fontId="57" fillId="0" borderId="1" xfId="0" applyFont="1" applyBorder="1" applyAlignment="1">
      <alignment horizontal="center" vertical="center" wrapText="1"/>
    </xf>
    <xf numFmtId="0" fontId="58" fillId="0" borderId="0" xfId="0" applyFont="1" applyAlignment="1">
      <alignment horizontal="center" vertical="center" wrapText="1"/>
    </xf>
    <xf numFmtId="0" fontId="59" fillId="0" borderId="1" xfId="0" applyFont="1" applyBorder="1" applyAlignment="1">
      <alignment horizontal="center" vertical="center"/>
    </xf>
    <xf numFmtId="0" fontId="60" fillId="0" borderId="1" xfId="0" applyFont="1" applyBorder="1" applyAlignment="1">
      <alignment horizontal="center" vertical="center" wrapText="1"/>
    </xf>
    <xf numFmtId="0" fontId="61" fillId="0" borderId="1" xfId="0" applyFont="1" applyBorder="1" applyAlignment="1">
      <alignment horizontal="center" vertical="center"/>
    </xf>
    <xf numFmtId="0" fontId="61" fillId="0" borderId="1" xfId="0" applyFont="1" applyBorder="1" applyAlignment="1">
      <alignment horizontal="center" vertical="center" wrapText="1"/>
    </xf>
    <xf numFmtId="0" fontId="10" fillId="0" borderId="0" xfId="0" applyFont="1" applyAlignment="1">
      <alignment horizontal="center" vertical="center" wrapText="1"/>
    </xf>
    <xf numFmtId="0" fontId="29" fillId="0" borderId="1" xfId="0" applyFont="1" applyBorder="1" applyAlignment="1">
      <alignment horizontal="center" vertical="center" wrapText="1"/>
    </xf>
    <xf numFmtId="0" fontId="29" fillId="0" borderId="0" xfId="0" applyFont="1" applyAlignment="1">
      <alignment horizontal="center" vertical="center" wrapText="1"/>
    </xf>
    <xf numFmtId="0" fontId="56" fillId="0" borderId="1" xfId="0" applyFont="1" applyBorder="1" applyAlignment="1">
      <alignment horizontal="center" vertical="center" wrapText="1"/>
    </xf>
    <xf numFmtId="0" fontId="0" fillId="0" borderId="0" xfId="0" applyAlignment="1">
      <alignment horizontal="right" wrapText="1"/>
    </xf>
    <xf numFmtId="0" fontId="0" fillId="0" borderId="0" xfId="0" applyAlignment="1">
      <alignment wrapText="1"/>
    </xf>
    <xf numFmtId="0" fontId="63" fillId="0" borderId="1" xfId="0" applyFont="1" applyBorder="1" applyAlignment="1">
      <alignment horizontal="center" vertical="center"/>
    </xf>
    <xf numFmtId="0" fontId="10" fillId="0" borderId="0" xfId="0" applyFont="1" applyAlignment="1">
      <alignment horizontal="center" vertical="center"/>
    </xf>
    <xf numFmtId="0" fontId="55" fillId="0" borderId="1" xfId="0" applyFont="1" applyBorder="1" applyAlignment="1">
      <alignment horizontal="left" vertical="center" wrapText="1"/>
    </xf>
    <xf numFmtId="166" fontId="55" fillId="0" borderId="1" xfId="0" applyNumberFormat="1" applyFont="1" applyBorder="1" applyAlignment="1">
      <alignment horizontal="center" vertical="center"/>
    </xf>
    <xf numFmtId="0" fontId="54" fillId="0" borderId="1" xfId="0" applyFont="1" applyBorder="1" applyAlignment="1">
      <alignment horizontal="center" vertical="center" wrapText="1"/>
    </xf>
    <xf numFmtId="0" fontId="55" fillId="0" borderId="1" xfId="0" applyFont="1" applyBorder="1" applyAlignment="1">
      <alignment horizontal="center" vertical="center"/>
    </xf>
    <xf numFmtId="43" fontId="54" fillId="0" borderId="1" xfId="1" applyFont="1" applyFill="1" applyBorder="1" applyAlignment="1">
      <alignment horizontal="center" vertical="center" wrapText="1"/>
    </xf>
    <xf numFmtId="49" fontId="55" fillId="0" borderId="1" xfId="0" applyNumberFormat="1" applyFont="1" applyBorder="1" applyAlignment="1">
      <alignment horizontal="center" vertical="center"/>
    </xf>
    <xf numFmtId="164" fontId="55" fillId="0" borderId="1" xfId="0" applyNumberFormat="1" applyFont="1" applyBorder="1" applyAlignment="1">
      <alignment horizontal="center" vertical="center"/>
    </xf>
    <xf numFmtId="0" fontId="70" fillId="0" borderId="0" xfId="0" applyFont="1"/>
    <xf numFmtId="0" fontId="71" fillId="0" borderId="0" xfId="0" applyFont="1" applyAlignment="1">
      <alignment horizontal="center"/>
    </xf>
    <xf numFmtId="0" fontId="75" fillId="0" borderId="1" xfId="0" applyFont="1" applyBorder="1" applyAlignment="1">
      <alignment horizontal="center" vertical="center" wrapText="1"/>
    </xf>
    <xf numFmtId="0" fontId="75" fillId="0" borderId="1" xfId="0" applyFont="1" applyBorder="1" applyAlignment="1">
      <alignment horizontal="center" vertical="center"/>
    </xf>
    <xf numFmtId="0" fontId="76" fillId="4" borderId="1" xfId="0" applyFont="1" applyFill="1" applyBorder="1" applyAlignment="1">
      <alignment horizontal="center" vertical="center" wrapText="1"/>
    </xf>
    <xf numFmtId="164" fontId="75" fillId="0" borderId="1" xfId="0" applyNumberFormat="1" applyFont="1" applyBorder="1" applyAlignment="1">
      <alignment horizontal="center" vertical="center" wrapText="1"/>
    </xf>
    <xf numFmtId="164" fontId="75" fillId="0" borderId="1" xfId="0" applyNumberFormat="1" applyFont="1" applyBorder="1" applyAlignment="1">
      <alignment horizontal="center" vertical="center"/>
    </xf>
    <xf numFmtId="164" fontId="76" fillId="4" borderId="1" xfId="0" applyNumberFormat="1" applyFont="1" applyFill="1" applyBorder="1" applyAlignment="1">
      <alignment horizontal="center" vertical="center" wrapText="1"/>
    </xf>
    <xf numFmtId="0" fontId="3" fillId="0" borderId="1" xfId="0" applyFont="1" applyBorder="1"/>
    <xf numFmtId="164" fontId="70" fillId="4" borderId="1" xfId="0" applyNumberFormat="1" applyFont="1" applyFill="1" applyBorder="1" applyAlignment="1">
      <alignment horizontal="center" vertical="center"/>
    </xf>
    <xf numFmtId="0" fontId="70" fillId="4" borderId="1" xfId="0" applyFont="1" applyFill="1" applyBorder="1" applyAlignment="1">
      <alignment vertical="center" wrapText="1"/>
    </xf>
    <xf numFmtId="164" fontId="70" fillId="0" borderId="1" xfId="0" applyNumberFormat="1" applyFont="1" applyBorder="1" applyAlignment="1">
      <alignment horizontal="center"/>
    </xf>
    <xf numFmtId="0" fontId="70" fillId="4" borderId="1" xfId="0" applyFont="1" applyFill="1" applyBorder="1" applyAlignment="1">
      <alignment horizontal="center" vertical="center"/>
    </xf>
    <xf numFmtId="0" fontId="0" fillId="0" borderId="1" xfId="0" applyBorder="1" applyAlignment="1">
      <alignment wrapText="1"/>
    </xf>
    <xf numFmtId="0" fontId="77" fillId="4" borderId="1" xfId="0" applyFont="1" applyFill="1" applyBorder="1" applyAlignment="1">
      <alignment vertical="center" wrapText="1"/>
    </xf>
    <xf numFmtId="0" fontId="70" fillId="0" borderId="1" xfId="0" applyFont="1" applyBorder="1" applyAlignment="1">
      <alignment horizontal="center"/>
    </xf>
    <xf numFmtId="0" fontId="77" fillId="4" borderId="1" xfId="0" applyFont="1" applyFill="1" applyBorder="1" applyAlignment="1">
      <alignment horizontal="left" vertical="center" wrapText="1"/>
    </xf>
    <xf numFmtId="164" fontId="70" fillId="0" borderId="1" xfId="0" applyNumberFormat="1" applyFont="1" applyBorder="1" applyAlignment="1">
      <alignment horizontal="center" vertical="center"/>
    </xf>
    <xf numFmtId="0" fontId="70" fillId="0" borderId="1" xfId="0" applyFont="1" applyBorder="1" applyAlignment="1">
      <alignment horizontal="center" vertical="center"/>
    </xf>
    <xf numFmtId="0" fontId="77" fillId="0" borderId="1" xfId="0" applyFont="1" applyBorder="1" applyAlignment="1">
      <alignment vertical="top" wrapText="1"/>
    </xf>
    <xf numFmtId="0" fontId="70" fillId="0" borderId="1" xfId="0" applyFont="1" applyBorder="1" applyAlignment="1">
      <alignment wrapText="1"/>
    </xf>
    <xf numFmtId="0" fontId="70" fillId="0" borderId="1" xfId="0" applyFont="1" applyBorder="1" applyAlignment="1">
      <alignment vertical="center"/>
    </xf>
    <xf numFmtId="164" fontId="75" fillId="0" borderId="1" xfId="0" applyNumberFormat="1" applyFont="1" applyBorder="1" applyAlignment="1">
      <alignment horizontal="center"/>
    </xf>
    <xf numFmtId="0" fontId="6" fillId="4" borderId="1" xfId="0" applyFont="1" applyFill="1" applyBorder="1" applyAlignment="1">
      <alignment horizontal="center"/>
    </xf>
    <xf numFmtId="0" fontId="72" fillId="0" borderId="0" xfId="0" applyFont="1"/>
    <xf numFmtId="0" fontId="72" fillId="4" borderId="0" xfId="0" applyFont="1" applyFill="1"/>
    <xf numFmtId="0" fontId="78" fillId="0" borderId="0" xfId="0" applyFont="1"/>
    <xf numFmtId="43" fontId="72" fillId="0" borderId="0" xfId="0" applyNumberFormat="1" applyFont="1" applyAlignment="1">
      <alignment horizontal="center"/>
    </xf>
    <xf numFmtId="0" fontId="66" fillId="0" borderId="1" xfId="0" applyFont="1" applyBorder="1" applyAlignment="1">
      <alignment horizontal="center" vertical="center" wrapText="1"/>
    </xf>
    <xf numFmtId="0" fontId="66" fillId="0" borderId="1" xfId="0" applyFont="1" applyBorder="1" applyAlignment="1">
      <alignment horizontal="center" vertical="center"/>
    </xf>
    <xf numFmtId="0" fontId="66" fillId="4" borderId="1" xfId="0" applyFont="1" applyFill="1" applyBorder="1" applyAlignment="1">
      <alignment horizontal="center" vertical="center" wrapText="1"/>
    </xf>
    <xf numFmtId="0" fontId="80" fillId="0" borderId="1" xfId="0" applyFont="1" applyBorder="1" applyAlignment="1">
      <alignment horizontal="center" vertical="center" wrapText="1"/>
    </xf>
    <xf numFmtId="43" fontId="66" fillId="0" borderId="1" xfId="1" applyFont="1" applyFill="1" applyBorder="1" applyAlignment="1">
      <alignment horizontal="center" vertical="center" wrapText="1"/>
    </xf>
    <xf numFmtId="3" fontId="63" fillId="0" borderId="1" xfId="1" applyNumberFormat="1" applyFont="1" applyBorder="1" applyAlignment="1">
      <alignment horizontal="center" vertical="center"/>
    </xf>
    <xf numFmtId="3" fontId="64" fillId="0" borderId="1" xfId="0" applyNumberFormat="1" applyFont="1" applyBorder="1" applyAlignment="1">
      <alignment horizontal="center" vertical="center"/>
    </xf>
    <xf numFmtId="3" fontId="63" fillId="0" borderId="1" xfId="0" applyNumberFormat="1" applyFont="1" applyBorder="1" applyAlignment="1">
      <alignment horizontal="center" vertical="center"/>
    </xf>
    <xf numFmtId="164" fontId="18" fillId="0" borderId="1" xfId="0" applyNumberFormat="1" applyFont="1" applyBorder="1" applyAlignment="1">
      <alignment horizontal="center" vertical="center"/>
    </xf>
    <xf numFmtId="164" fontId="55" fillId="0" borderId="1" xfId="1" applyNumberFormat="1" applyFont="1" applyFill="1" applyBorder="1" applyAlignment="1">
      <alignment horizontal="center" vertical="center"/>
    </xf>
    <xf numFmtId="164" fontId="54" fillId="0" borderId="1" xfId="1" applyNumberFormat="1" applyFont="1" applyFill="1" applyBorder="1" applyAlignment="1">
      <alignment horizontal="center" vertical="center"/>
    </xf>
    <xf numFmtId="43" fontId="8" fillId="0" borderId="1" xfId="1" applyFont="1" applyFill="1" applyBorder="1" applyAlignment="1">
      <alignment horizontal="center" vertical="center" wrapText="1"/>
    </xf>
    <xf numFmtId="43" fontId="15" fillId="0" borderId="1" xfId="1" applyFont="1" applyFill="1" applyBorder="1" applyAlignment="1">
      <alignment horizontal="center" vertical="center" wrapText="1"/>
    </xf>
    <xf numFmtId="0" fontId="21" fillId="0" borderId="1" xfId="0" applyFont="1" applyBorder="1" applyAlignment="1">
      <alignment horizontal="center" vertical="center"/>
    </xf>
    <xf numFmtId="0" fontId="22" fillId="0" borderId="1" xfId="0" applyFont="1" applyBorder="1" applyAlignment="1">
      <alignment horizontal="center" vertical="center" wrapText="1"/>
    </xf>
    <xf numFmtId="43" fontId="23" fillId="0" borderId="1" xfId="1" applyFont="1" applyBorder="1" applyAlignment="1">
      <alignment horizontal="center" vertical="center" wrapText="1"/>
    </xf>
    <xf numFmtId="0" fontId="23" fillId="0" borderId="1" xfId="0" applyFont="1" applyBorder="1" applyAlignment="1">
      <alignment horizontal="center" vertical="center" wrapText="1"/>
    </xf>
    <xf numFmtId="43" fontId="5" fillId="0" borderId="1" xfId="1" applyFont="1" applyFill="1" applyBorder="1" applyAlignment="1">
      <alignment horizontal="center" vertical="center"/>
    </xf>
    <xf numFmtId="43" fontId="22" fillId="0" borderId="1" xfId="1" applyFont="1" applyFill="1" applyBorder="1" applyAlignment="1">
      <alignment horizontal="center" vertical="center"/>
    </xf>
    <xf numFmtId="43" fontId="22" fillId="0" borderId="1" xfId="1" applyFont="1" applyBorder="1" applyAlignment="1">
      <alignment horizontal="center" vertical="center"/>
    </xf>
    <xf numFmtId="43" fontId="22" fillId="0" borderId="1" xfId="1" applyFont="1" applyBorder="1" applyAlignment="1">
      <alignment horizontal="center" vertical="center" wrapText="1"/>
    </xf>
    <xf numFmtId="0" fontId="24" fillId="0" borderId="1" xfId="0" applyFont="1" applyBorder="1" applyAlignment="1">
      <alignment horizontal="center" vertical="center" wrapText="1"/>
    </xf>
    <xf numFmtId="3" fontId="22" fillId="0" borderId="1" xfId="0" applyNumberFormat="1" applyFont="1" applyBorder="1" applyAlignment="1">
      <alignment horizontal="center" vertical="center" wrapText="1"/>
    </xf>
    <xf numFmtId="166" fontId="22" fillId="0" borderId="1" xfId="0" applyNumberFormat="1" applyFont="1" applyBorder="1" applyAlignment="1">
      <alignment horizontal="center" vertical="center"/>
    </xf>
    <xf numFmtId="3" fontId="22" fillId="0" borderId="1" xfId="0" applyNumberFormat="1" applyFont="1" applyBorder="1" applyAlignment="1">
      <alignment horizontal="center" vertical="center"/>
    </xf>
    <xf numFmtId="43" fontId="5" fillId="0" borderId="1" xfId="1" applyFont="1" applyBorder="1" applyAlignment="1">
      <alignment horizontal="center" vertical="center"/>
    </xf>
    <xf numFmtId="43" fontId="5" fillId="0" borderId="1" xfId="1" applyFont="1" applyBorder="1" applyAlignment="1">
      <alignment horizontal="center" vertical="center" wrapText="1"/>
    </xf>
    <xf numFmtId="164" fontId="6" fillId="0" borderId="1" xfId="0" applyNumberFormat="1" applyFont="1" applyBorder="1" applyAlignment="1">
      <alignment horizontal="center" vertical="center" wrapText="1"/>
    </xf>
    <xf numFmtId="0" fontId="27" fillId="0" borderId="1" xfId="0" applyFont="1" applyBorder="1" applyAlignment="1">
      <alignment horizontal="center" vertical="center"/>
    </xf>
    <xf numFmtId="43" fontId="15" fillId="0" borderId="1" xfId="1" applyFont="1" applyBorder="1" applyAlignment="1">
      <alignment horizontal="center" vertical="center"/>
    </xf>
    <xf numFmtId="167" fontId="55" fillId="0" borderId="1" xfId="1" applyNumberFormat="1" applyFont="1" applyBorder="1" applyAlignment="1">
      <alignment horizontal="center" vertical="center"/>
    </xf>
    <xf numFmtId="3" fontId="63" fillId="0" borderId="1" xfId="1" applyNumberFormat="1" applyFont="1" applyFill="1" applyBorder="1" applyAlignment="1">
      <alignment horizontal="center" vertical="center"/>
    </xf>
    <xf numFmtId="3" fontId="64" fillId="0" borderId="1" xfId="1" applyNumberFormat="1" applyFont="1" applyBorder="1" applyAlignment="1">
      <alignment horizontal="center" vertical="center"/>
    </xf>
    <xf numFmtId="3" fontId="66" fillId="0" borderId="1" xfId="0" applyNumberFormat="1" applyFont="1" applyBorder="1" applyAlignment="1">
      <alignment horizontal="center" vertical="center"/>
    </xf>
    <xf numFmtId="3" fontId="67" fillId="0" borderId="1" xfId="1" applyNumberFormat="1" applyFont="1" applyBorder="1" applyAlignment="1">
      <alignment horizontal="center" vertical="center"/>
    </xf>
    <xf numFmtId="43" fontId="66" fillId="4" borderId="1" xfId="1" applyFont="1" applyFill="1" applyBorder="1" applyAlignment="1">
      <alignment horizontal="center" vertical="center" wrapText="1"/>
    </xf>
    <xf numFmtId="167" fontId="66" fillId="0" borderId="1" xfId="1" applyNumberFormat="1" applyFont="1" applyFill="1" applyBorder="1" applyAlignment="1">
      <alignment horizontal="center" vertical="center" wrapText="1"/>
    </xf>
    <xf numFmtId="43" fontId="66" fillId="0" borderId="1" xfId="0" applyNumberFormat="1" applyFont="1" applyBorder="1" applyAlignment="1">
      <alignment horizontal="center" vertical="center" wrapText="1"/>
    </xf>
    <xf numFmtId="0" fontId="82" fillId="0" borderId="1" xfId="0" applyFont="1" applyBorder="1" applyAlignment="1">
      <alignment horizontal="center" vertical="center"/>
    </xf>
    <xf numFmtId="0" fontId="5" fillId="0" borderId="1" xfId="0" applyFont="1" applyBorder="1" applyAlignment="1">
      <alignment horizontal="left" vertical="center" wrapText="1"/>
    </xf>
    <xf numFmtId="0" fontId="20" fillId="0" borderId="1" xfId="0" applyFont="1" applyBorder="1" applyAlignment="1">
      <alignment horizontal="left" vertical="center" wrapText="1"/>
    </xf>
    <xf numFmtId="164" fontId="20" fillId="0" borderId="1" xfId="0" applyNumberFormat="1" applyFont="1" applyBorder="1" applyAlignment="1">
      <alignment horizontal="left" vertical="center" wrapText="1"/>
    </xf>
    <xf numFmtId="0" fontId="18" fillId="0" borderId="1" xfId="0" applyFont="1" applyBorder="1" applyAlignment="1">
      <alignment horizontal="left" vertical="center" wrapText="1"/>
    </xf>
    <xf numFmtId="0" fontId="8" fillId="0" borderId="1" xfId="0" applyFont="1" applyBorder="1" applyAlignment="1">
      <alignment horizontal="left" vertical="center" wrapText="1"/>
    </xf>
    <xf numFmtId="0" fontId="12" fillId="0" borderId="1" xfId="0" applyFont="1" applyBorder="1" applyAlignment="1">
      <alignment horizontal="left" vertical="center" wrapText="1"/>
    </xf>
    <xf numFmtId="0" fontId="14" fillId="0" borderId="1" xfId="0" applyFont="1" applyBorder="1" applyAlignment="1">
      <alignment horizontal="left" vertical="center" wrapText="1"/>
    </xf>
    <xf numFmtId="10" fontId="55" fillId="0" borderId="1" xfId="0" applyNumberFormat="1" applyFont="1" applyBorder="1" applyAlignment="1">
      <alignment horizontal="left" vertical="center" wrapText="1"/>
    </xf>
    <xf numFmtId="10" fontId="55" fillId="3" borderId="1" xfId="0" applyNumberFormat="1" applyFont="1" applyFill="1" applyBorder="1" applyAlignment="1">
      <alignment horizontal="left" vertical="center" wrapText="1"/>
    </xf>
    <xf numFmtId="0" fontId="63" fillId="0" borderId="1" xfId="0" applyFont="1" applyBorder="1" applyAlignment="1">
      <alignment horizontal="left" vertical="center" wrapText="1"/>
    </xf>
    <xf numFmtId="0" fontId="64" fillId="0" borderId="0" xfId="0" applyFont="1" applyAlignment="1">
      <alignment horizontal="left" vertical="center" wrapText="1"/>
    </xf>
    <xf numFmtId="0" fontId="65" fillId="0" borderId="1" xfId="0" applyFont="1" applyBorder="1" applyAlignment="1">
      <alignment horizontal="left" vertical="center" wrapText="1"/>
    </xf>
    <xf numFmtId="0" fontId="64" fillId="0" borderId="1" xfId="0" applyFont="1" applyBorder="1" applyAlignment="1">
      <alignment horizontal="left" vertical="center" wrapText="1"/>
    </xf>
    <xf numFmtId="0" fontId="68" fillId="0" borderId="1" xfId="0" applyFont="1" applyBorder="1" applyAlignment="1">
      <alignment horizontal="left" vertical="center" wrapText="1"/>
    </xf>
    <xf numFmtId="0" fontId="65" fillId="0" borderId="0" xfId="0" applyFont="1" applyAlignment="1">
      <alignment horizontal="left" vertical="center" wrapText="1"/>
    </xf>
    <xf numFmtId="0" fontId="66" fillId="0" borderId="1" xfId="0" applyFont="1" applyBorder="1" applyAlignment="1">
      <alignment horizontal="left" vertical="center" wrapText="1"/>
    </xf>
    <xf numFmtId="0" fontId="79" fillId="0" borderId="1" xfId="0" applyFont="1" applyBorder="1" applyAlignment="1">
      <alignment horizontal="left" vertical="center" wrapText="1"/>
    </xf>
    <xf numFmtId="0" fontId="66" fillId="4" borderId="1" xfId="0" applyFont="1" applyFill="1" applyBorder="1" applyAlignment="1">
      <alignment horizontal="left" vertical="center" wrapText="1"/>
    </xf>
    <xf numFmtId="0" fontId="82" fillId="0" borderId="1" xfId="0" applyFont="1" applyBorder="1" applyAlignment="1">
      <alignment horizontal="left" vertical="center" wrapText="1"/>
    </xf>
    <xf numFmtId="0" fontId="10" fillId="0" borderId="0" xfId="0" applyFont="1" applyAlignment="1">
      <alignment horizontal="left" vertical="center"/>
    </xf>
    <xf numFmtId="0" fontId="8" fillId="0" borderId="1" xfId="0" applyFont="1" applyBorder="1" applyAlignment="1">
      <alignment horizontal="center" vertical="center" wrapText="1"/>
    </xf>
    <xf numFmtId="165" fontId="8" fillId="0" borderId="1" xfId="0" applyNumberFormat="1" applyFont="1" applyBorder="1" applyAlignment="1">
      <alignment horizontal="center" vertical="center" wrapText="1"/>
    </xf>
    <xf numFmtId="165" fontId="9" fillId="0" borderId="1" xfId="0" applyNumberFormat="1" applyFont="1" applyBorder="1" applyAlignment="1">
      <alignment horizontal="center" vertical="center" wrapText="1"/>
    </xf>
    <xf numFmtId="166" fontId="9"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64" fontId="55" fillId="0" borderId="1" xfId="0" applyNumberFormat="1" applyFont="1" applyBorder="1" applyAlignment="1">
      <alignment horizontal="center" vertical="center" wrapText="1"/>
    </xf>
    <xf numFmtId="164" fontId="55" fillId="3" borderId="1" xfId="0" applyNumberFormat="1" applyFont="1" applyFill="1" applyBorder="1" applyAlignment="1">
      <alignment horizontal="center" vertical="center" wrapText="1"/>
    </xf>
    <xf numFmtId="164" fontId="63" fillId="0" borderId="1" xfId="0" applyNumberFormat="1" applyFont="1" applyBorder="1" applyAlignment="1">
      <alignment horizontal="center" vertical="center"/>
    </xf>
    <xf numFmtId="49" fontId="63" fillId="0" borderId="1" xfId="0" applyNumberFormat="1" applyFont="1" applyBorder="1" applyAlignment="1">
      <alignment horizontal="center" vertical="center"/>
    </xf>
    <xf numFmtId="49" fontId="63" fillId="4" borderId="1" xfId="0" applyNumberFormat="1" applyFont="1" applyFill="1" applyBorder="1" applyAlignment="1">
      <alignment horizontal="center" vertical="center"/>
    </xf>
    <xf numFmtId="0" fontId="64" fillId="0" borderId="1" xfId="0" applyFont="1" applyBorder="1" applyAlignment="1">
      <alignment horizontal="center" vertical="center"/>
    </xf>
    <xf numFmtId="166" fontId="63" fillId="0" borderId="1" xfId="0" applyNumberFormat="1" applyFont="1" applyBorder="1" applyAlignment="1">
      <alignment horizontal="center" vertical="center"/>
    </xf>
    <xf numFmtId="164" fontId="66" fillId="0" borderId="1" xfId="0" applyNumberFormat="1" applyFont="1" applyBorder="1" applyAlignment="1">
      <alignment horizontal="center" vertical="center" wrapText="1"/>
    </xf>
    <xf numFmtId="164" fontId="55" fillId="0" borderId="1" xfId="0" applyNumberFormat="1" applyFont="1" applyBorder="1" applyAlignment="1">
      <alignment horizontal="left" vertical="center" wrapText="1"/>
    </xf>
    <xf numFmtId="164" fontId="56" fillId="0" borderId="1" xfId="0" applyNumberFormat="1" applyFont="1" applyBorder="1" applyAlignment="1">
      <alignment horizontal="left" vertical="center" wrapText="1"/>
    </xf>
    <xf numFmtId="0" fontId="63" fillId="4" borderId="1" xfId="0" applyFont="1" applyFill="1" applyBorder="1" applyAlignment="1">
      <alignment horizontal="left" vertical="center" wrapText="1"/>
    </xf>
    <xf numFmtId="0" fontId="54" fillId="0" borderId="1" xfId="0" applyFont="1" applyBorder="1" applyAlignment="1">
      <alignment horizontal="left" vertical="center" wrapText="1"/>
    </xf>
    <xf numFmtId="164" fontId="7" fillId="0" borderId="1" xfId="0" applyNumberFormat="1" applyFont="1" applyBorder="1" applyAlignment="1">
      <alignment horizontal="center" vertical="center" wrapText="1"/>
    </xf>
    <xf numFmtId="0" fontId="0" fillId="0" borderId="1" xfId="0" applyBorder="1" applyAlignment="1">
      <alignment horizontal="center" vertical="center" wrapText="1"/>
    </xf>
    <xf numFmtId="0" fontId="29" fillId="0" borderId="1" xfId="0" applyFont="1" applyBorder="1" applyAlignment="1">
      <alignment horizontal="left" vertical="center" wrapText="1"/>
    </xf>
    <xf numFmtId="0" fontId="29" fillId="0" borderId="1" xfId="0" applyFont="1" applyBorder="1" applyAlignment="1">
      <alignment horizontal="center" vertical="center"/>
    </xf>
    <xf numFmtId="0" fontId="9" fillId="4" borderId="1" xfId="0" applyFont="1" applyFill="1" applyBorder="1" applyAlignment="1">
      <alignment horizontal="left" vertical="center" wrapText="1"/>
    </xf>
    <xf numFmtId="0" fontId="10" fillId="4" borderId="1" xfId="0" applyFont="1" applyFill="1" applyBorder="1" applyAlignment="1">
      <alignment horizontal="center"/>
    </xf>
    <xf numFmtId="0" fontId="29" fillId="4" borderId="1" xfId="0" applyFont="1" applyFill="1" applyBorder="1" applyAlignment="1">
      <alignment horizontal="center" vertical="center"/>
    </xf>
    <xf numFmtId="0" fontId="0" fillId="4" borderId="0" xfId="0" applyFill="1"/>
    <xf numFmtId="0" fontId="9"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83" fillId="4" borderId="1" xfId="0" applyFont="1" applyFill="1" applyBorder="1" applyAlignment="1">
      <alignment horizontal="left" vertical="top" wrapText="1"/>
    </xf>
    <xf numFmtId="43" fontId="83" fillId="4" borderId="1" xfId="0" applyNumberFormat="1" applyFont="1" applyFill="1" applyBorder="1" applyAlignment="1">
      <alignment horizontal="center" vertical="center" wrapText="1"/>
    </xf>
    <xf numFmtId="0" fontId="0" fillId="0" borderId="1" xfId="0" applyBorder="1" applyAlignment="1">
      <alignment vertical="center" wrapText="1"/>
    </xf>
    <xf numFmtId="0" fontId="0" fillId="0" borderId="0" xfId="0" applyAlignment="1">
      <alignment horizontal="center" wrapText="1"/>
    </xf>
    <xf numFmtId="43" fontId="25" fillId="4" borderId="1" xfId="1" applyFont="1" applyFill="1" applyBorder="1" applyAlignment="1">
      <alignment horizontal="center" vertical="center" wrapText="1"/>
    </xf>
    <xf numFmtId="49" fontId="15" fillId="4" borderId="1" xfId="0" applyNumberFormat="1" applyFont="1" applyFill="1" applyBorder="1" applyAlignment="1">
      <alignment horizontal="center" vertical="center" wrapText="1"/>
    </xf>
    <xf numFmtId="3" fontId="83" fillId="4" borderId="1" xfId="0" applyNumberFormat="1" applyFont="1" applyFill="1" applyBorder="1" applyAlignment="1">
      <alignment horizontal="center" vertical="center"/>
    </xf>
    <xf numFmtId="0" fontId="83" fillId="4" borderId="1" xfId="0" applyFont="1" applyFill="1" applyBorder="1" applyAlignment="1">
      <alignment horizontal="center" vertical="center" wrapText="1"/>
    </xf>
    <xf numFmtId="3" fontId="83" fillId="4" borderId="1" xfId="0" applyNumberFormat="1" applyFont="1" applyFill="1" applyBorder="1" applyAlignment="1">
      <alignment horizontal="center" vertical="center" wrapText="1"/>
    </xf>
    <xf numFmtId="0" fontId="83" fillId="4" borderId="1" xfId="0" applyFont="1" applyFill="1" applyBorder="1" applyAlignment="1">
      <alignment horizontal="left" vertical="center" wrapText="1"/>
    </xf>
    <xf numFmtId="164" fontId="85" fillId="4" borderId="1" xfId="0" applyNumberFormat="1" applyFont="1" applyFill="1" applyBorder="1" applyAlignment="1">
      <alignment horizontal="center" vertical="center" wrapText="1"/>
    </xf>
    <xf numFmtId="43" fontId="83" fillId="4" borderId="1" xfId="1" applyFont="1" applyFill="1" applyBorder="1" applyAlignment="1">
      <alignment horizontal="center" vertical="center" wrapText="1"/>
    </xf>
    <xf numFmtId="0" fontId="11" fillId="0" borderId="1" xfId="0" applyFont="1" applyBorder="1" applyAlignment="1">
      <alignment horizontal="center" vertical="center" wrapText="1"/>
    </xf>
    <xf numFmtId="0" fontId="83" fillId="0" borderId="1" xfId="0" applyFont="1" applyBorder="1" applyAlignment="1">
      <alignment horizontal="left" vertical="center" wrapText="1"/>
    </xf>
    <xf numFmtId="164" fontId="85" fillId="0" borderId="1" xfId="0" applyNumberFormat="1" applyFont="1" applyBorder="1" applyAlignment="1">
      <alignment horizontal="center" vertical="center" wrapText="1"/>
    </xf>
    <xf numFmtId="43" fontId="25" fillId="0" borderId="1" xfId="1" applyFont="1" applyFill="1" applyBorder="1" applyAlignment="1">
      <alignment horizontal="center" vertical="center" wrapText="1"/>
    </xf>
    <xf numFmtId="49" fontId="15" fillId="0" borderId="1" xfId="0" applyNumberFormat="1" applyFont="1" applyBorder="1" applyAlignment="1">
      <alignment horizontal="center" vertical="center" wrapText="1"/>
    </xf>
    <xf numFmtId="0" fontId="86" fillId="0" borderId="1" xfId="0" applyFont="1" applyBorder="1" applyAlignment="1">
      <alignment horizontal="center" vertical="center"/>
    </xf>
    <xf numFmtId="164" fontId="87" fillId="0" borderId="1" xfId="0" applyNumberFormat="1" applyFont="1" applyBorder="1" applyAlignment="1">
      <alignment horizontal="center" vertical="center"/>
    </xf>
    <xf numFmtId="165" fontId="87" fillId="0" borderId="1" xfId="0" applyNumberFormat="1" applyFont="1" applyBorder="1" applyAlignment="1">
      <alignment horizontal="center" vertical="center"/>
    </xf>
    <xf numFmtId="164" fontId="11" fillId="0" borderId="1" xfId="0" applyNumberFormat="1" applyFont="1" applyBorder="1" applyAlignment="1">
      <alignment horizontal="center" vertical="center" wrapText="1"/>
    </xf>
    <xf numFmtId="4" fontId="83" fillId="0" borderId="1" xfId="0" applyNumberFormat="1" applyFont="1" applyBorder="1" applyAlignment="1">
      <alignment horizontal="center" vertical="center" wrapText="1"/>
    </xf>
    <xf numFmtId="3" fontId="83" fillId="0" borderId="1" xfId="0" applyNumberFormat="1" applyFont="1" applyBorder="1" applyAlignment="1">
      <alignment horizontal="center" vertical="center" wrapText="1"/>
    </xf>
    <xf numFmtId="0" fontId="88" fillId="0" borderId="1" xfId="0" applyFont="1" applyBorder="1" applyAlignment="1">
      <alignment horizontal="center" vertical="center" wrapText="1"/>
    </xf>
    <xf numFmtId="43" fontId="83" fillId="0" borderId="1" xfId="1" applyFont="1" applyFill="1" applyBorder="1" applyAlignment="1">
      <alignment horizontal="center" vertical="center" wrapText="1"/>
    </xf>
    <xf numFmtId="0" fontId="61" fillId="0" borderId="1" xfId="0" applyFont="1" applyBorder="1" applyAlignment="1">
      <alignment horizontal="left" vertical="center" wrapText="1"/>
    </xf>
    <xf numFmtId="43" fontId="50" fillId="0" borderId="1" xfId="1" applyFont="1" applyFill="1" applyBorder="1" applyAlignment="1">
      <alignment horizontal="center" vertical="center" wrapText="1"/>
    </xf>
    <xf numFmtId="43" fontId="83" fillId="0" borderId="1" xfId="0" applyNumberFormat="1" applyFont="1" applyBorder="1" applyAlignment="1">
      <alignment horizontal="center" vertical="center" wrapText="1"/>
    </xf>
    <xf numFmtId="43" fontId="50" fillId="0" borderId="1" xfId="0" applyNumberFormat="1" applyFont="1" applyBorder="1" applyAlignment="1">
      <alignment horizontal="center" vertical="center" wrapText="1"/>
    </xf>
    <xf numFmtId="164" fontId="90" fillId="0" borderId="1" xfId="0" applyNumberFormat="1" applyFont="1" applyBorder="1" applyAlignment="1">
      <alignment horizontal="center" vertical="center"/>
    </xf>
    <xf numFmtId="0" fontId="86" fillId="5" borderId="1" xfId="0" applyFont="1" applyFill="1" applyBorder="1" applyAlignment="1">
      <alignment horizontal="center" vertical="center"/>
    </xf>
    <xf numFmtId="164" fontId="90" fillId="5" borderId="1" xfId="0" applyNumberFormat="1" applyFont="1" applyFill="1" applyBorder="1" applyAlignment="1">
      <alignment horizontal="center" vertical="center"/>
    </xf>
    <xf numFmtId="165" fontId="90" fillId="0" borderId="1" xfId="0" applyNumberFormat="1" applyFont="1" applyBorder="1" applyAlignment="1">
      <alignment horizontal="center" vertical="center"/>
    </xf>
    <xf numFmtId="43" fontId="10" fillId="0" borderId="1" xfId="1" applyFont="1" applyFill="1" applyBorder="1" applyAlignment="1">
      <alignment horizontal="center" vertical="center"/>
    </xf>
    <xf numFmtId="165" fontId="90" fillId="0" borderId="1" xfId="0" applyNumberFormat="1" applyFont="1" applyBorder="1" applyAlignment="1">
      <alignment vertical="center"/>
    </xf>
    <xf numFmtId="164" fontId="86" fillId="0" borderId="1" xfId="0" applyNumberFormat="1" applyFont="1" applyBorder="1" applyAlignment="1">
      <alignment horizontal="center" vertical="center"/>
    </xf>
    <xf numFmtId="43" fontId="86" fillId="0" borderId="1" xfId="1" applyFont="1" applyFill="1" applyBorder="1" applyAlignment="1">
      <alignment horizontal="center" vertical="center"/>
    </xf>
    <xf numFmtId="43" fontId="50" fillId="4" borderId="1" xfId="1" applyFont="1" applyFill="1" applyBorder="1" applyAlignment="1">
      <alignment horizontal="center" vertical="center" wrapText="1"/>
    </xf>
    <xf numFmtId="43" fontId="50" fillId="4" borderId="1" xfId="0" applyNumberFormat="1" applyFont="1" applyFill="1" applyBorder="1" applyAlignment="1">
      <alignment horizontal="center" vertical="center" wrapText="1"/>
    </xf>
    <xf numFmtId="0" fontId="86" fillId="4" borderId="1" xfId="0" applyFont="1" applyFill="1" applyBorder="1" applyAlignment="1">
      <alignment horizontal="center" vertical="center"/>
    </xf>
    <xf numFmtId="164" fontId="86" fillId="4" borderId="1" xfId="0" applyNumberFormat="1" applyFont="1" applyFill="1" applyBorder="1" applyAlignment="1">
      <alignment horizontal="center" vertical="center"/>
    </xf>
    <xf numFmtId="43" fontId="10" fillId="4" borderId="1" xfId="1" applyFont="1" applyFill="1" applyBorder="1" applyAlignment="1">
      <alignment horizontal="center" vertical="center" wrapText="1"/>
    </xf>
    <xf numFmtId="43" fontId="18" fillId="4" borderId="1" xfId="1" applyFont="1" applyFill="1" applyBorder="1" applyAlignment="1">
      <alignment horizontal="center" vertical="center" wrapText="1"/>
    </xf>
    <xf numFmtId="43" fontId="83" fillId="4" borderId="1" xfId="0" applyNumberFormat="1" applyFont="1" applyFill="1" applyBorder="1" applyAlignment="1">
      <alignment horizontal="center" wrapText="1"/>
    </xf>
    <xf numFmtId="3" fontId="83" fillId="4" borderId="1" xfId="0" applyNumberFormat="1" applyFont="1" applyFill="1" applyBorder="1" applyAlignment="1">
      <alignment horizontal="center" wrapText="1"/>
    </xf>
    <xf numFmtId="43" fontId="83" fillId="4" borderId="1" xfId="1" applyFont="1" applyFill="1" applyBorder="1" applyAlignment="1">
      <alignment horizontal="center" wrapText="1"/>
    </xf>
    <xf numFmtId="165" fontId="87" fillId="4" borderId="1" xfId="0" applyNumberFormat="1" applyFont="1" applyFill="1" applyBorder="1" applyAlignment="1">
      <alignment horizontal="center" vertical="center"/>
    </xf>
    <xf numFmtId="0" fontId="86" fillId="4" borderId="1" xfId="0" applyFont="1" applyFill="1" applyBorder="1" applyAlignment="1">
      <alignment horizontal="center"/>
    </xf>
    <xf numFmtId="164" fontId="87" fillId="4" borderId="1" xfId="0" applyNumberFormat="1" applyFont="1" applyFill="1" applyBorder="1" applyAlignment="1">
      <alignment horizontal="center" vertical="center"/>
    </xf>
    <xf numFmtId="0" fontId="15" fillId="4" borderId="1" xfId="0" applyFont="1" applyFill="1" applyBorder="1" applyAlignment="1">
      <alignment horizontal="left" vertical="center" wrapText="1"/>
    </xf>
    <xf numFmtId="0" fontId="15" fillId="4" borderId="1" xfId="0" applyFont="1" applyFill="1" applyBorder="1" applyAlignment="1">
      <alignment horizontal="center" vertical="center" wrapText="1"/>
    </xf>
    <xf numFmtId="0" fontId="61" fillId="4" borderId="1" xfId="0" applyFont="1" applyFill="1" applyBorder="1" applyAlignment="1">
      <alignment horizontal="center" vertical="center" wrapText="1"/>
    </xf>
    <xf numFmtId="164" fontId="14" fillId="4" borderId="1" xfId="0" applyNumberFormat="1" applyFont="1" applyFill="1" applyBorder="1" applyAlignment="1">
      <alignment horizontal="center" vertical="center" wrapText="1"/>
    </xf>
    <xf numFmtId="43" fontId="29" fillId="4" borderId="1" xfId="1" applyFont="1" applyFill="1" applyBorder="1" applyAlignment="1">
      <alignment horizontal="center" vertical="center" wrapText="1"/>
    </xf>
    <xf numFmtId="43" fontId="15" fillId="4" borderId="1" xfId="1" applyFont="1" applyFill="1" applyBorder="1" applyAlignment="1">
      <alignment horizontal="center" vertical="center" wrapText="1"/>
    </xf>
    <xf numFmtId="0" fontId="92" fillId="4" borderId="1" xfId="0" applyFont="1" applyFill="1" applyBorder="1" applyAlignment="1">
      <alignment horizontal="center" vertical="center" wrapText="1"/>
    </xf>
    <xf numFmtId="167" fontId="29" fillId="4" borderId="1" xfId="1" applyNumberFormat="1" applyFont="1" applyFill="1" applyBorder="1" applyAlignment="1">
      <alignment horizontal="center" vertical="center" wrapText="1"/>
    </xf>
    <xf numFmtId="0" fontId="70" fillId="4" borderId="1" xfId="0" applyFont="1" applyFill="1" applyBorder="1" applyAlignment="1">
      <alignment horizontal="left" vertical="center" wrapText="1"/>
    </xf>
    <xf numFmtId="0" fontId="29" fillId="4" borderId="1" xfId="0" applyFont="1" applyFill="1" applyBorder="1" applyAlignment="1">
      <alignment horizontal="center" vertical="center" wrapText="1"/>
    </xf>
    <xf numFmtId="164" fontId="92" fillId="4" borderId="1" xfId="0" applyNumberFormat="1" applyFont="1" applyFill="1" applyBorder="1" applyAlignment="1">
      <alignment horizontal="center" vertical="center" wrapText="1"/>
    </xf>
    <xf numFmtId="167" fontId="70" fillId="4" borderId="1" xfId="1" applyNumberFormat="1" applyFont="1" applyFill="1" applyBorder="1" applyAlignment="1">
      <alignment horizontal="center" vertical="center" wrapText="1"/>
    </xf>
    <xf numFmtId="0" fontId="10" fillId="4" borderId="1" xfId="0" applyFont="1" applyFill="1" applyBorder="1" applyAlignment="1">
      <alignment wrapText="1"/>
    </xf>
    <xf numFmtId="4" fontId="29" fillId="4" borderId="1" xfId="0" applyNumberFormat="1" applyFont="1" applyFill="1" applyBorder="1" applyAlignment="1">
      <alignment horizontal="center" vertical="center" wrapText="1"/>
    </xf>
    <xf numFmtId="0" fontId="29" fillId="4" borderId="1" xfId="0" applyFont="1" applyFill="1" applyBorder="1" applyAlignment="1">
      <alignment wrapText="1"/>
    </xf>
    <xf numFmtId="0" fontId="48" fillId="0" borderId="1" xfId="0" applyFont="1" applyBorder="1" applyAlignment="1">
      <alignment horizontal="center" vertical="center" wrapText="1"/>
    </xf>
    <xf numFmtId="0" fontId="84" fillId="4" borderId="1" xfId="0" applyFont="1" applyFill="1" applyBorder="1" applyAlignment="1">
      <alignment horizontal="left" vertical="center" wrapText="1"/>
    </xf>
    <xf numFmtId="0" fontId="61" fillId="4" borderId="1" xfId="0" applyFont="1" applyFill="1" applyBorder="1" applyAlignment="1">
      <alignment horizontal="left" vertical="center" wrapText="1"/>
    </xf>
    <xf numFmtId="0" fontId="77" fillId="0" borderId="1" xfId="0" applyFont="1" applyBorder="1" applyAlignment="1">
      <alignment horizontal="left" vertical="center" wrapText="1"/>
    </xf>
    <xf numFmtId="0" fontId="84" fillId="0" borderId="1" xfId="0" applyFont="1" applyBorder="1" applyAlignment="1">
      <alignment horizontal="left" vertical="center" wrapText="1"/>
    </xf>
    <xf numFmtId="0" fontId="70" fillId="0" borderId="1" xfId="0" applyFont="1" applyBorder="1" applyAlignment="1">
      <alignment horizontal="left" vertical="center" wrapText="1"/>
    </xf>
    <xf numFmtId="0" fontId="70" fillId="5" borderId="1" xfId="0" applyFont="1" applyFill="1" applyBorder="1" applyAlignment="1">
      <alignment horizontal="left" vertical="center" wrapText="1"/>
    </xf>
    <xf numFmtId="0" fontId="90" fillId="0" borderId="1" xfId="0" applyFont="1" applyBorder="1" applyAlignment="1">
      <alignment horizontal="left" vertical="center" wrapText="1"/>
    </xf>
    <xf numFmtId="0" fontId="75" fillId="4" borderId="1" xfId="0" applyFont="1" applyFill="1" applyBorder="1" applyAlignment="1">
      <alignment horizontal="left" vertical="center" wrapText="1"/>
    </xf>
    <xf numFmtId="0" fontId="86" fillId="4" borderId="1" xfId="0" applyFont="1" applyFill="1" applyBorder="1" applyAlignment="1">
      <alignment horizontal="left" vertical="center" wrapText="1"/>
    </xf>
    <xf numFmtId="0" fontId="90" fillId="4" borderId="1" xfId="0" applyFont="1" applyFill="1" applyBorder="1" applyAlignment="1">
      <alignment horizontal="left" vertical="center" wrapText="1"/>
    </xf>
    <xf numFmtId="0" fontId="91" fillId="0" borderId="1" xfId="0" applyFont="1" applyBorder="1" applyAlignment="1">
      <alignment horizontal="left" vertical="center" wrapText="1"/>
    </xf>
    <xf numFmtId="0" fontId="75" fillId="0" borderId="1" xfId="0" applyFont="1" applyBorder="1" applyAlignment="1">
      <alignment horizontal="left" vertical="center" wrapText="1"/>
    </xf>
    <xf numFmtId="0" fontId="10" fillId="4" borderId="1" xfId="0" applyFont="1" applyFill="1" applyBorder="1" applyAlignment="1">
      <alignment horizontal="left" vertical="center" wrapText="1"/>
    </xf>
    <xf numFmtId="0" fontId="17" fillId="4" borderId="1" xfId="0" applyFont="1" applyFill="1" applyBorder="1" applyAlignment="1">
      <alignment horizontal="left" vertical="center" wrapText="1"/>
    </xf>
    <xf numFmtId="0" fontId="29" fillId="4" borderId="1" xfId="0" applyFont="1" applyFill="1" applyBorder="1" applyAlignment="1">
      <alignment horizontal="left" vertical="center" wrapText="1"/>
    </xf>
    <xf numFmtId="0" fontId="95" fillId="4" borderId="1" xfId="0" applyFont="1" applyFill="1" applyBorder="1" applyAlignment="1">
      <alignment horizontal="left" vertical="center" wrapText="1"/>
    </xf>
    <xf numFmtId="0" fontId="0" fillId="0" borderId="1" xfId="0" applyBorder="1" applyAlignment="1">
      <alignment horizontal="left" vertical="center" wrapText="1"/>
    </xf>
    <xf numFmtId="0" fontId="0" fillId="4" borderId="1" xfId="0" applyFill="1" applyBorder="1" applyAlignment="1">
      <alignment horizontal="left" vertical="center" wrapText="1"/>
    </xf>
    <xf numFmtId="0" fontId="94" fillId="4" borderId="1" xfId="0" applyFont="1" applyFill="1" applyBorder="1" applyAlignment="1">
      <alignment horizontal="left" vertical="center" wrapText="1"/>
    </xf>
    <xf numFmtId="43" fontId="84" fillId="4" borderId="1" xfId="1" applyFont="1" applyFill="1" applyBorder="1" applyAlignment="1">
      <alignment horizontal="center" vertical="center" wrapText="1"/>
    </xf>
    <xf numFmtId="167" fontId="77" fillId="0" borderId="1" xfId="0" applyNumberFormat="1" applyFont="1" applyBorder="1" applyAlignment="1">
      <alignment horizontal="center" vertical="center" wrapText="1"/>
    </xf>
    <xf numFmtId="43" fontId="84" fillId="0" borderId="1" xfId="1" applyFont="1" applyFill="1" applyBorder="1" applyAlignment="1">
      <alignment horizontal="center" vertical="center" wrapText="1"/>
    </xf>
    <xf numFmtId="43" fontId="10" fillId="0" borderId="1" xfId="1" applyFont="1" applyFill="1" applyBorder="1" applyAlignment="1">
      <alignment horizontal="center" wrapText="1"/>
    </xf>
    <xf numFmtId="43" fontId="27" fillId="0" borderId="1" xfId="1" applyFont="1" applyFill="1" applyBorder="1" applyAlignment="1">
      <alignment horizontal="center" vertical="center" wrapText="1"/>
    </xf>
    <xf numFmtId="43" fontId="10" fillId="0" borderId="1" xfId="1" applyFont="1" applyFill="1" applyBorder="1" applyAlignment="1">
      <alignment horizontal="center" vertical="center" wrapText="1"/>
    </xf>
    <xf numFmtId="43" fontId="10" fillId="0" borderId="1" xfId="1" applyFont="1" applyFill="1" applyBorder="1" applyAlignment="1">
      <alignment horizontal="center" vertical="top"/>
    </xf>
    <xf numFmtId="43" fontId="27" fillId="4" borderId="1" xfId="1" applyFont="1" applyFill="1" applyBorder="1" applyAlignment="1">
      <alignment horizontal="center" vertical="center" wrapText="1"/>
    </xf>
    <xf numFmtId="43" fontId="61" fillId="4" borderId="1" xfId="1" applyFont="1" applyFill="1" applyBorder="1" applyAlignment="1">
      <alignment horizontal="center" vertical="center" wrapText="1"/>
    </xf>
    <xf numFmtId="43" fontId="10" fillId="4" borderId="1" xfId="1" applyFont="1" applyFill="1" applyBorder="1" applyAlignment="1">
      <alignment horizontal="center" wrapText="1"/>
    </xf>
    <xf numFmtId="0" fontId="10" fillId="4" borderId="1" xfId="0" applyFont="1" applyFill="1" applyBorder="1" applyAlignment="1">
      <alignment horizontal="center" wrapText="1"/>
    </xf>
    <xf numFmtId="0" fontId="10" fillId="4" borderId="1" xfId="0" applyFont="1" applyFill="1" applyBorder="1" applyAlignment="1">
      <alignment horizontal="center" vertical="center" wrapText="1"/>
    </xf>
    <xf numFmtId="43" fontId="84" fillId="4" borderId="1" xfId="1" applyFont="1" applyFill="1" applyBorder="1" applyAlignment="1">
      <alignment horizontal="center" wrapText="1"/>
    </xf>
    <xf numFmtId="164" fontId="10" fillId="4" borderId="1" xfId="0" applyNumberFormat="1" applyFont="1" applyFill="1" applyBorder="1" applyAlignment="1">
      <alignment horizontal="center" vertical="center"/>
    </xf>
    <xf numFmtId="43" fontId="18" fillId="4" borderId="1" xfId="1" applyFont="1" applyFill="1" applyBorder="1" applyAlignment="1">
      <alignment horizontal="center" vertical="center"/>
    </xf>
    <xf numFmtId="168" fontId="18" fillId="4" borderId="1" xfId="0" applyNumberFormat="1" applyFont="1" applyFill="1" applyBorder="1" applyAlignment="1">
      <alignment horizontal="center" vertical="center" wrapText="1"/>
    </xf>
    <xf numFmtId="0" fontId="96" fillId="4" borderId="1" xfId="0" applyFont="1" applyFill="1" applyBorder="1" applyAlignment="1">
      <alignment horizontal="left" vertical="center" wrapText="1"/>
    </xf>
    <xf numFmtId="0" fontId="10" fillId="0" borderId="0" xfId="0" applyFont="1" applyAlignment="1">
      <alignment horizontal="left" vertical="center" wrapText="1"/>
    </xf>
    <xf numFmtId="0" fontId="20" fillId="0" borderId="1" xfId="0" applyFont="1" applyBorder="1" applyAlignment="1">
      <alignment vertical="center"/>
    </xf>
    <xf numFmtId="0" fontId="92" fillId="0" borderId="1" xfId="0" applyFont="1" applyBorder="1"/>
    <xf numFmtId="0" fontId="92" fillId="0" borderId="1" xfId="0" applyFont="1" applyBorder="1" applyAlignment="1">
      <alignment horizontal="center"/>
    </xf>
    <xf numFmtId="0" fontId="15" fillId="0" borderId="1" xfId="0" applyFont="1" applyBorder="1" applyAlignment="1">
      <alignment horizontal="center"/>
    </xf>
    <xf numFmtId="0" fontId="15" fillId="0" borderId="1" xfId="0" applyFont="1" applyBorder="1" applyAlignment="1">
      <alignment vertical="top" wrapText="1"/>
    </xf>
    <xf numFmtId="167" fontId="15" fillId="0" borderId="1" xfId="0" applyNumberFormat="1" applyFont="1" applyBorder="1" applyAlignment="1">
      <alignment horizontal="center" vertical="center"/>
    </xf>
    <xf numFmtId="43" fontId="15" fillId="0" borderId="1" xfId="1" applyFont="1" applyFill="1" applyBorder="1" applyAlignment="1">
      <alignment horizontal="center" vertical="top" wrapText="1"/>
    </xf>
    <xf numFmtId="0" fontId="97" fillId="0" borderId="1" xfId="0" applyFont="1" applyBorder="1" applyAlignment="1">
      <alignment horizontal="center" vertical="center" wrapText="1"/>
    </xf>
    <xf numFmtId="0" fontId="97" fillId="0" borderId="1" xfId="0" applyFont="1" applyBorder="1" applyAlignment="1">
      <alignment horizontal="left" vertical="top" wrapText="1"/>
    </xf>
    <xf numFmtId="43" fontId="97" fillId="0" borderId="1" xfId="1" applyFont="1" applyFill="1" applyBorder="1" applyAlignment="1">
      <alignment horizontal="center" vertical="center"/>
    </xf>
    <xf numFmtId="0" fontId="15" fillId="0" borderId="1" xfId="0" applyFont="1" applyBorder="1" applyAlignment="1">
      <alignment vertical="center" wrapText="1"/>
    </xf>
    <xf numFmtId="167" fontId="15" fillId="0" borderId="1" xfId="0" applyNumberFormat="1" applyFont="1" applyBorder="1" applyAlignment="1">
      <alignment horizontal="center" vertical="center" wrapText="1"/>
    </xf>
    <xf numFmtId="0" fontId="15" fillId="0" borderId="1" xfId="0" applyFont="1" applyBorder="1" applyAlignment="1">
      <alignment horizontal="left" vertical="top" wrapText="1"/>
    </xf>
    <xf numFmtId="0" fontId="9" fillId="0" borderId="1" xfId="0" applyFont="1" applyBorder="1" applyAlignment="1">
      <alignment vertical="top" wrapText="1"/>
    </xf>
    <xf numFmtId="0" fontId="9" fillId="0" borderId="1" xfId="0" applyFont="1" applyBorder="1" applyAlignment="1">
      <alignment horizontal="center" vertical="top" wrapText="1"/>
    </xf>
    <xf numFmtId="43" fontId="9" fillId="0" borderId="1" xfId="1" applyFont="1" applyFill="1" applyBorder="1" applyAlignment="1">
      <alignment horizontal="center" vertical="center"/>
    </xf>
    <xf numFmtId="167" fontId="13" fillId="0" borderId="1" xfId="1" applyNumberFormat="1" applyFont="1" applyFill="1" applyBorder="1" applyAlignment="1">
      <alignment horizontal="center" vertical="center"/>
    </xf>
    <xf numFmtId="0" fontId="97" fillId="0" borderId="1" xfId="0" applyFont="1" applyBorder="1" applyAlignment="1">
      <alignment horizontal="center" vertical="top" wrapText="1"/>
    </xf>
    <xf numFmtId="0" fontId="13" fillId="0" borderId="1" xfId="0" applyFont="1" applyBorder="1" applyAlignment="1">
      <alignment vertical="center" wrapText="1"/>
    </xf>
    <xf numFmtId="0" fontId="13" fillId="0" borderId="1" xfId="0" applyFont="1" applyBorder="1" applyAlignment="1">
      <alignment horizontal="center" vertical="center" wrapText="1"/>
    </xf>
    <xf numFmtId="0" fontId="13" fillId="0" borderId="1" xfId="0" applyFont="1" applyBorder="1" applyAlignment="1">
      <alignment wrapText="1"/>
    </xf>
    <xf numFmtId="0" fontId="98" fillId="0" borderId="1" xfId="0" applyFont="1" applyBorder="1" applyAlignment="1">
      <alignment horizontal="left" vertical="center" wrapText="1"/>
    </xf>
    <xf numFmtId="0" fontId="16" fillId="0" borderId="7" xfId="0" applyFont="1" applyBorder="1" applyAlignment="1">
      <alignment horizontal="center" wrapText="1"/>
    </xf>
    <xf numFmtId="0" fontId="16" fillId="0" borderId="27" xfId="0" applyFont="1" applyBorder="1" applyAlignment="1">
      <alignment horizontal="center" wrapText="1"/>
    </xf>
    <xf numFmtId="0" fontId="0" fillId="0" borderId="1" xfId="0" applyBorder="1" applyAlignment="1">
      <alignment horizontal="center"/>
    </xf>
    <xf numFmtId="0" fontId="16" fillId="0" borderId="2" xfId="0" applyFont="1" applyBorder="1" applyAlignment="1">
      <alignment horizontal="center" wrapText="1"/>
    </xf>
    <xf numFmtId="0" fontId="16" fillId="0" borderId="3" xfId="0" applyFont="1" applyBorder="1" applyAlignment="1">
      <alignment horizontal="center" wrapText="1"/>
    </xf>
    <xf numFmtId="0" fontId="10" fillId="0" borderId="1" xfId="0" applyFont="1" applyBorder="1" applyAlignment="1">
      <alignment horizontal="center"/>
    </xf>
    <xf numFmtId="0" fontId="30" fillId="0" borderId="16" xfId="0" applyFont="1" applyBorder="1" applyAlignment="1">
      <alignment horizontal="center" vertical="center" wrapText="1"/>
    </xf>
    <xf numFmtId="0" fontId="30" fillId="0" borderId="19" xfId="0" applyFont="1" applyBorder="1" applyAlignment="1">
      <alignment horizontal="center" vertical="center" wrapText="1"/>
    </xf>
    <xf numFmtId="0" fontId="19" fillId="0" borderId="15" xfId="0" applyFont="1" applyBorder="1" applyAlignment="1">
      <alignment wrapText="1"/>
    </xf>
    <xf numFmtId="0" fontId="19" fillId="0" borderId="18" xfId="0" applyFont="1" applyBorder="1" applyAlignment="1">
      <alignment wrapText="1"/>
    </xf>
    <xf numFmtId="0" fontId="28" fillId="2" borderId="9" xfId="0" applyFont="1" applyFill="1" applyBorder="1" applyAlignment="1">
      <alignment horizontal="center"/>
    </xf>
    <xf numFmtId="0" fontId="28" fillId="2" borderId="10" xfId="0" applyFont="1" applyFill="1" applyBorder="1" applyAlignment="1">
      <alignment horizontal="center"/>
    </xf>
    <xf numFmtId="0" fontId="28" fillId="2" borderId="11" xfId="0" applyFont="1" applyFill="1" applyBorder="1" applyAlignment="1">
      <alignment horizontal="center"/>
    </xf>
    <xf numFmtId="0" fontId="16" fillId="0" borderId="0" xfId="0" applyFont="1" applyAlignment="1">
      <alignment horizontal="center"/>
    </xf>
    <xf numFmtId="0" fontId="22" fillId="0" borderId="15" xfId="0" applyFont="1" applyBorder="1" applyAlignment="1">
      <alignment horizontal="center" vertical="center" wrapText="1"/>
    </xf>
    <xf numFmtId="0" fontId="22" fillId="0" borderId="18" xfId="0" applyFont="1" applyBorder="1" applyAlignment="1">
      <alignment horizontal="center" vertical="center" wrapText="1"/>
    </xf>
    <xf numFmtId="0" fontId="30" fillId="0" borderId="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5" xfId="0" applyFont="1" applyBorder="1" applyAlignment="1">
      <alignment horizontal="center" vertical="center" wrapText="1"/>
    </xf>
    <xf numFmtId="0" fontId="42" fillId="0" borderId="0" xfId="2" applyFont="1" applyAlignment="1">
      <alignment horizontal="center"/>
    </xf>
    <xf numFmtId="0" fontId="43" fillId="0" borderId="20" xfId="2" applyFont="1" applyBorder="1" applyAlignment="1">
      <alignment horizontal="center"/>
    </xf>
    <xf numFmtId="0" fontId="32" fillId="0" borderId="0" xfId="0" applyFont="1" applyAlignment="1">
      <alignment horizontal="center"/>
    </xf>
    <xf numFmtId="0" fontId="32" fillId="0" borderId="1" xfId="0" applyFont="1" applyBorder="1" applyAlignment="1">
      <alignment horizontal="center"/>
    </xf>
    <xf numFmtId="0" fontId="71" fillId="0" borderId="0" xfId="0" applyFont="1" applyAlignment="1">
      <alignment horizontal="center"/>
    </xf>
    <xf numFmtId="0" fontId="72" fillId="0" borderId="0" xfId="0" applyFont="1" applyAlignment="1">
      <alignment horizontal="center"/>
    </xf>
    <xf numFmtId="0" fontId="73" fillId="0" borderId="0" xfId="0" applyFont="1" applyAlignment="1">
      <alignment horizontal="center"/>
    </xf>
    <xf numFmtId="0" fontId="74" fillId="0" borderId="0" xfId="0" applyFont="1" applyAlignment="1">
      <alignment horizontal="center"/>
    </xf>
    <xf numFmtId="0" fontId="16" fillId="0" borderId="0" xfId="0" applyFont="1" applyAlignment="1">
      <alignment horizontal="center" wrapText="1"/>
    </xf>
  </cellXfs>
  <cellStyles count="3">
    <cellStyle name="Comma" xfId="1" builtinId="3"/>
    <cellStyle name="Normal" xfId="0" builtinId="0"/>
    <cellStyle name="Normal 2" xfId="2" xr:uid="{3CEC4076-1EDC-4DA7-A81B-AC9CA48B285A}"/>
  </cellStyles>
  <dxfs count="38">
    <dxf>
      <font>
        <b/>
        <i val="0"/>
        <color theme="0"/>
      </font>
      <fill>
        <patternFill patternType="solid">
          <bgColor rgb="FFFF000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ont>
        <b/>
        <i val="0"/>
        <color theme="0"/>
      </font>
      <fill>
        <patternFill patternType="solid">
          <bgColor rgb="FFFF0000"/>
        </patternFill>
      </fill>
    </dxf>
    <dxf>
      <font>
        <b/>
        <i val="0"/>
        <color theme="0"/>
      </font>
      <fill>
        <patternFill patternType="solid">
          <bgColor rgb="FFFF0000"/>
        </patternFill>
      </fill>
    </dxf>
    <dxf>
      <font>
        <b/>
        <i val="0"/>
        <color theme="0"/>
      </font>
      <fill>
        <patternFill patternType="solid">
          <bgColor rgb="FFFF0000"/>
        </patternFill>
      </fill>
    </dxf>
    <dxf>
      <font>
        <b/>
        <i val="0"/>
        <color theme="0"/>
      </font>
      <fill>
        <patternFill patternType="solid">
          <bgColor rgb="FFFF0000"/>
        </patternFill>
      </fill>
    </dxf>
    <dxf>
      <font>
        <b/>
        <i val="0"/>
        <color theme="0"/>
      </font>
      <fill>
        <patternFill patternType="solid">
          <bgColor rgb="FFFF0000"/>
        </patternFill>
      </fill>
    </dxf>
    <dxf>
      <font>
        <b/>
        <i val="0"/>
        <color theme="0"/>
      </font>
      <fill>
        <patternFill patternType="solid">
          <bgColor rgb="FFFF0000"/>
        </patternFill>
      </fill>
    </dxf>
    <dxf>
      <font>
        <b/>
        <i val="0"/>
        <color theme="0"/>
      </font>
      <fill>
        <patternFill patternType="solid">
          <bgColor rgb="FFFF0000"/>
        </patternFill>
      </fill>
    </dxf>
    <dxf>
      <font>
        <b/>
        <i val="0"/>
        <color theme="0"/>
      </font>
      <fill>
        <patternFill patternType="solid">
          <bgColor rgb="FFFF000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indexed="65"/>
        </patternFill>
      </fill>
    </dxf>
    <dxf>
      <fill>
        <patternFill>
          <bgColor indexed="65"/>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05B77-75F3-4FBD-A2CD-33DCF562862B}">
  <sheetPr>
    <pageSetUpPr fitToPage="1"/>
  </sheetPr>
  <dimension ref="A2:I1582"/>
  <sheetViews>
    <sheetView view="pageBreakPreview" zoomScale="80" zoomScaleNormal="100" zoomScaleSheetLayoutView="80" workbookViewId="0">
      <selection activeCell="N982" sqref="N982"/>
    </sheetView>
  </sheetViews>
  <sheetFormatPr defaultRowHeight="15.75"/>
  <cols>
    <col min="1" max="1" width="6.140625" style="11" customWidth="1"/>
    <col min="2" max="2" width="26.5703125" style="220" customWidth="1"/>
    <col min="3" max="3" width="12.5703125" style="126" bestFit="1" customWidth="1"/>
    <col min="4" max="4" width="10.5703125" style="126" customWidth="1"/>
    <col min="5" max="5" width="34.28515625" style="349" customWidth="1"/>
    <col min="6" max="6" width="19.28515625" style="126" customWidth="1"/>
    <col min="7" max="7" width="16" style="126" bestFit="1" customWidth="1"/>
    <col min="8" max="8" width="11.5703125" style="10" customWidth="1"/>
    <col min="9" max="9" width="16" customWidth="1"/>
  </cols>
  <sheetData>
    <row r="2" spans="1:9" ht="33" customHeight="1">
      <c r="A2" s="1" t="s">
        <v>0</v>
      </c>
      <c r="B2" s="201" t="s">
        <v>1</v>
      </c>
      <c r="C2" s="1" t="s">
        <v>2</v>
      </c>
      <c r="D2" s="1" t="s">
        <v>3</v>
      </c>
      <c r="E2" s="201" t="s">
        <v>4</v>
      </c>
      <c r="F2" s="1" t="s">
        <v>5</v>
      </c>
      <c r="G2" s="1" t="s">
        <v>6</v>
      </c>
      <c r="H2" s="1" t="s">
        <v>7</v>
      </c>
      <c r="I2" s="2" t="s">
        <v>225</v>
      </c>
    </row>
    <row r="3" spans="1:9" ht="66">
      <c r="A3" s="238">
        <v>1</v>
      </c>
      <c r="B3" s="205" t="s">
        <v>8</v>
      </c>
      <c r="C3" s="221" t="s">
        <v>9</v>
      </c>
      <c r="D3" s="221">
        <v>45.7</v>
      </c>
      <c r="E3" s="205" t="s">
        <v>10</v>
      </c>
      <c r="F3" s="173">
        <v>21714020</v>
      </c>
      <c r="G3" s="7" t="s">
        <v>11</v>
      </c>
      <c r="H3" s="26" t="s">
        <v>12</v>
      </c>
      <c r="I3" s="9" t="s">
        <v>226</v>
      </c>
    </row>
    <row r="4" spans="1:9" ht="76.5" customHeight="1">
      <c r="A4" s="238">
        <v>2</v>
      </c>
      <c r="B4" s="205" t="s">
        <v>8</v>
      </c>
      <c r="C4" s="221" t="s">
        <v>13</v>
      </c>
      <c r="D4" s="222">
        <v>47.7</v>
      </c>
      <c r="E4" s="205" t="s">
        <v>14</v>
      </c>
      <c r="F4" s="173">
        <v>702610</v>
      </c>
      <c r="G4" s="7" t="s">
        <v>15</v>
      </c>
      <c r="H4" s="26" t="s">
        <v>12</v>
      </c>
      <c r="I4" s="9" t="s">
        <v>226</v>
      </c>
    </row>
    <row r="5" spans="1:9" ht="66">
      <c r="A5" s="238">
        <v>3</v>
      </c>
      <c r="B5" s="29" t="s">
        <v>8</v>
      </c>
      <c r="C5" s="26" t="s">
        <v>16</v>
      </c>
      <c r="D5" s="223">
        <v>46.2</v>
      </c>
      <c r="E5" s="29" t="s">
        <v>17</v>
      </c>
      <c r="F5" s="7" t="s">
        <v>18</v>
      </c>
      <c r="G5" s="7" t="s">
        <v>11</v>
      </c>
      <c r="H5" s="26" t="s">
        <v>19</v>
      </c>
      <c r="I5" s="9" t="s">
        <v>226</v>
      </c>
    </row>
    <row r="6" spans="1:9" ht="66">
      <c r="A6" s="238">
        <v>4</v>
      </c>
      <c r="B6" s="29" t="s">
        <v>8</v>
      </c>
      <c r="C6" s="26" t="s">
        <v>16</v>
      </c>
      <c r="D6" s="223">
        <v>45.2</v>
      </c>
      <c r="E6" s="29" t="s">
        <v>20</v>
      </c>
      <c r="F6" s="7" t="s">
        <v>21</v>
      </c>
      <c r="G6" s="7" t="s">
        <v>11</v>
      </c>
      <c r="H6" s="26" t="s">
        <v>19</v>
      </c>
      <c r="I6" s="9" t="s">
        <v>226</v>
      </c>
    </row>
    <row r="7" spans="1:9" ht="73.5" customHeight="1">
      <c r="A7" s="238">
        <v>5</v>
      </c>
      <c r="B7" s="29" t="s">
        <v>8</v>
      </c>
      <c r="C7" s="26" t="s">
        <v>16</v>
      </c>
      <c r="D7" s="223">
        <v>42.3</v>
      </c>
      <c r="E7" s="29" t="s">
        <v>22</v>
      </c>
      <c r="F7" s="7" t="s">
        <v>23</v>
      </c>
      <c r="G7" s="7" t="s">
        <v>11</v>
      </c>
      <c r="H7" s="26" t="s">
        <v>19</v>
      </c>
      <c r="I7" s="9" t="s">
        <v>226</v>
      </c>
    </row>
    <row r="8" spans="1:9" ht="82.5">
      <c r="A8" s="238">
        <v>6</v>
      </c>
      <c r="B8" s="29" t="s">
        <v>8</v>
      </c>
      <c r="C8" s="26" t="s">
        <v>16</v>
      </c>
      <c r="D8" s="32">
        <v>34</v>
      </c>
      <c r="E8" s="29" t="s">
        <v>24</v>
      </c>
      <c r="F8" s="7" t="s">
        <v>25</v>
      </c>
      <c r="G8" s="7" t="s">
        <v>11</v>
      </c>
      <c r="H8" s="26" t="s">
        <v>19</v>
      </c>
      <c r="I8" s="9" t="s">
        <v>226</v>
      </c>
    </row>
    <row r="9" spans="1:9" ht="49.5">
      <c r="A9" s="238">
        <v>7</v>
      </c>
      <c r="B9" s="29" t="s">
        <v>26</v>
      </c>
      <c r="C9" s="26" t="s">
        <v>27</v>
      </c>
      <c r="D9" s="26">
        <v>3</v>
      </c>
      <c r="E9" s="29" t="s">
        <v>28</v>
      </c>
      <c r="F9" s="7">
        <v>635689</v>
      </c>
      <c r="G9" s="7" t="s">
        <v>11</v>
      </c>
      <c r="H9" s="26" t="s">
        <v>29</v>
      </c>
      <c r="I9" s="9" t="s">
        <v>226</v>
      </c>
    </row>
    <row r="10" spans="1:9" ht="49.5">
      <c r="A10" s="238">
        <v>8</v>
      </c>
      <c r="B10" s="29" t="s">
        <v>30</v>
      </c>
      <c r="C10" s="26" t="s">
        <v>31</v>
      </c>
      <c r="D10" s="26">
        <v>3</v>
      </c>
      <c r="E10" s="29" t="s">
        <v>32</v>
      </c>
      <c r="F10" s="7">
        <v>377726</v>
      </c>
      <c r="G10" s="7" t="s">
        <v>11</v>
      </c>
      <c r="H10" s="26" t="s">
        <v>29</v>
      </c>
      <c r="I10" s="9" t="s">
        <v>226</v>
      </c>
    </row>
    <row r="11" spans="1:9" ht="115.5">
      <c r="A11" s="238">
        <v>9</v>
      </c>
      <c r="B11" s="29" t="s">
        <v>33</v>
      </c>
      <c r="C11" s="26" t="s">
        <v>34</v>
      </c>
      <c r="D11" s="26">
        <v>9</v>
      </c>
      <c r="E11" s="29" t="s">
        <v>35</v>
      </c>
      <c r="F11" s="7">
        <v>19598004</v>
      </c>
      <c r="G11" s="7" t="s">
        <v>11</v>
      </c>
      <c r="H11" s="26" t="s">
        <v>12</v>
      </c>
      <c r="I11" s="9" t="s">
        <v>226</v>
      </c>
    </row>
    <row r="12" spans="1:9" ht="99" customHeight="1">
      <c r="A12" s="238">
        <v>10</v>
      </c>
      <c r="B12" s="205" t="s">
        <v>33</v>
      </c>
      <c r="C12" s="221" t="s">
        <v>34</v>
      </c>
      <c r="D12" s="221">
        <v>10</v>
      </c>
      <c r="E12" s="205" t="s">
        <v>36</v>
      </c>
      <c r="F12" s="173">
        <v>2785502</v>
      </c>
      <c r="G12" s="7" t="s">
        <v>11</v>
      </c>
      <c r="H12" s="26" t="s">
        <v>12</v>
      </c>
      <c r="I12" s="9" t="s">
        <v>226</v>
      </c>
    </row>
    <row r="13" spans="1:9" ht="49.5">
      <c r="A13" s="238">
        <v>11</v>
      </c>
      <c r="B13" s="205" t="s">
        <v>33</v>
      </c>
      <c r="C13" s="221" t="s">
        <v>37</v>
      </c>
      <c r="D13" s="221" t="s">
        <v>38</v>
      </c>
      <c r="E13" s="205" t="s">
        <v>39</v>
      </c>
      <c r="F13" s="173">
        <v>5779446</v>
      </c>
      <c r="G13" s="7" t="s">
        <v>11</v>
      </c>
      <c r="H13" s="26" t="s">
        <v>12</v>
      </c>
      <c r="I13" s="9" t="s">
        <v>226</v>
      </c>
    </row>
    <row r="14" spans="1:9" ht="84" customHeight="1">
      <c r="A14" s="238">
        <v>12</v>
      </c>
      <c r="B14" s="205" t="s">
        <v>33</v>
      </c>
      <c r="C14" s="221" t="s">
        <v>37</v>
      </c>
      <c r="D14" s="221">
        <v>18</v>
      </c>
      <c r="E14" s="205" t="s">
        <v>40</v>
      </c>
      <c r="F14" s="173">
        <v>177558150</v>
      </c>
      <c r="G14" s="7" t="s">
        <v>11</v>
      </c>
      <c r="H14" s="26" t="s">
        <v>12</v>
      </c>
      <c r="I14" s="9" t="s">
        <v>226</v>
      </c>
    </row>
    <row r="15" spans="1:9" ht="33">
      <c r="A15" s="238">
        <v>13</v>
      </c>
      <c r="B15" s="29" t="s">
        <v>33</v>
      </c>
      <c r="C15" s="26" t="s">
        <v>37</v>
      </c>
      <c r="D15" s="26" t="s">
        <v>41</v>
      </c>
      <c r="E15" s="29" t="s">
        <v>42</v>
      </c>
      <c r="F15" s="7">
        <v>197874</v>
      </c>
      <c r="G15" s="7" t="s">
        <v>43</v>
      </c>
      <c r="H15" s="26" t="s">
        <v>44</v>
      </c>
      <c r="I15" s="9" t="s">
        <v>226</v>
      </c>
    </row>
    <row r="16" spans="1:9" ht="33">
      <c r="A16" s="238">
        <v>14</v>
      </c>
      <c r="B16" s="29" t="s">
        <v>33</v>
      </c>
      <c r="C16" s="26" t="s">
        <v>37</v>
      </c>
      <c r="D16" s="26" t="s">
        <v>45</v>
      </c>
      <c r="E16" s="29" t="s">
        <v>46</v>
      </c>
      <c r="F16" s="7">
        <v>633230</v>
      </c>
      <c r="G16" s="7" t="s">
        <v>43</v>
      </c>
      <c r="H16" s="26" t="s">
        <v>47</v>
      </c>
      <c r="I16" s="9" t="s">
        <v>226</v>
      </c>
    </row>
    <row r="17" spans="1:9" ht="49.5">
      <c r="A17" s="238">
        <v>15</v>
      </c>
      <c r="B17" s="29" t="s">
        <v>33</v>
      </c>
      <c r="C17" s="26" t="s">
        <v>9</v>
      </c>
      <c r="D17" s="26">
        <v>41</v>
      </c>
      <c r="E17" s="29" t="s">
        <v>48</v>
      </c>
      <c r="F17" s="7">
        <v>483054</v>
      </c>
      <c r="G17" s="7" t="s">
        <v>11</v>
      </c>
      <c r="H17" s="26" t="s">
        <v>49</v>
      </c>
      <c r="I17" s="9" t="s">
        <v>226</v>
      </c>
    </row>
    <row r="18" spans="1:9" ht="77.25" customHeight="1">
      <c r="A18" s="238">
        <v>16</v>
      </c>
      <c r="B18" s="205" t="s">
        <v>33</v>
      </c>
      <c r="C18" s="221" t="s">
        <v>9</v>
      </c>
      <c r="D18" s="221">
        <v>43</v>
      </c>
      <c r="E18" s="205" t="s">
        <v>50</v>
      </c>
      <c r="F18" s="173">
        <v>3818371</v>
      </c>
      <c r="G18" s="7" t="s">
        <v>11</v>
      </c>
      <c r="H18" s="26" t="s">
        <v>12</v>
      </c>
      <c r="I18" s="9" t="s">
        <v>226</v>
      </c>
    </row>
    <row r="19" spans="1:9" ht="49.5">
      <c r="A19" s="238">
        <v>17</v>
      </c>
      <c r="B19" s="29" t="s">
        <v>33</v>
      </c>
      <c r="C19" s="26" t="s">
        <v>9</v>
      </c>
      <c r="D19" s="26">
        <v>34</v>
      </c>
      <c r="E19" s="29" t="s">
        <v>51</v>
      </c>
      <c r="F19" s="7">
        <v>525762</v>
      </c>
      <c r="G19" s="7" t="s">
        <v>11</v>
      </c>
      <c r="H19" s="26" t="s">
        <v>52</v>
      </c>
      <c r="I19" s="9" t="s">
        <v>226</v>
      </c>
    </row>
    <row r="20" spans="1:9" ht="49.5">
      <c r="A20" s="238">
        <v>18</v>
      </c>
      <c r="B20" s="29" t="s">
        <v>33</v>
      </c>
      <c r="C20" s="26" t="s">
        <v>13</v>
      </c>
      <c r="D20" s="26">
        <v>8</v>
      </c>
      <c r="E20" s="29" t="s">
        <v>53</v>
      </c>
      <c r="F20" s="7">
        <v>281052029</v>
      </c>
      <c r="G20" s="7" t="s">
        <v>11</v>
      </c>
      <c r="H20" s="26" t="s">
        <v>12</v>
      </c>
      <c r="I20" s="9" t="s">
        <v>226</v>
      </c>
    </row>
    <row r="21" spans="1:9" ht="66">
      <c r="A21" s="238">
        <v>19</v>
      </c>
      <c r="B21" s="29" t="s">
        <v>33</v>
      </c>
      <c r="C21" s="26" t="s">
        <v>13</v>
      </c>
      <c r="D21" s="26">
        <v>10</v>
      </c>
      <c r="E21" s="29" t="s">
        <v>54</v>
      </c>
      <c r="F21" s="7">
        <v>1567887</v>
      </c>
      <c r="G21" s="7" t="s">
        <v>11</v>
      </c>
      <c r="H21" s="26" t="s">
        <v>12</v>
      </c>
      <c r="I21" s="9" t="s">
        <v>226</v>
      </c>
    </row>
    <row r="22" spans="1:9" ht="66">
      <c r="A22" s="238">
        <v>20</v>
      </c>
      <c r="B22" s="29" t="s">
        <v>33</v>
      </c>
      <c r="C22" s="26" t="s">
        <v>13</v>
      </c>
      <c r="D22" s="26">
        <v>21</v>
      </c>
      <c r="E22" s="29" t="s">
        <v>55</v>
      </c>
      <c r="F22" s="7">
        <v>10926802</v>
      </c>
      <c r="G22" s="7" t="s">
        <v>11</v>
      </c>
      <c r="H22" s="26" t="s">
        <v>12</v>
      </c>
      <c r="I22" s="9" t="s">
        <v>226</v>
      </c>
    </row>
    <row r="23" spans="1:9" ht="66">
      <c r="A23" s="238">
        <v>21</v>
      </c>
      <c r="B23" s="29" t="s">
        <v>33</v>
      </c>
      <c r="C23" s="26" t="s">
        <v>13</v>
      </c>
      <c r="D23" s="26">
        <v>36</v>
      </c>
      <c r="E23" s="29" t="s">
        <v>56</v>
      </c>
      <c r="F23" s="7">
        <v>16486500</v>
      </c>
      <c r="G23" s="7" t="s">
        <v>11</v>
      </c>
      <c r="H23" s="26" t="s">
        <v>12</v>
      </c>
      <c r="I23" s="9" t="s">
        <v>226</v>
      </c>
    </row>
    <row r="24" spans="1:9" ht="65.25" customHeight="1">
      <c r="A24" s="238">
        <v>22</v>
      </c>
      <c r="B24" s="29" t="s">
        <v>33</v>
      </c>
      <c r="C24" s="26" t="s">
        <v>13</v>
      </c>
      <c r="D24" s="26">
        <v>78</v>
      </c>
      <c r="E24" s="29" t="s">
        <v>57</v>
      </c>
      <c r="F24" s="7">
        <v>2644070</v>
      </c>
      <c r="G24" s="7" t="s">
        <v>43</v>
      </c>
      <c r="H24" s="26" t="s">
        <v>12</v>
      </c>
      <c r="I24" s="9" t="s">
        <v>226</v>
      </c>
    </row>
    <row r="25" spans="1:9" ht="66">
      <c r="A25" s="238">
        <v>23</v>
      </c>
      <c r="B25" s="29" t="s">
        <v>33</v>
      </c>
      <c r="C25" s="26" t="s">
        <v>16</v>
      </c>
      <c r="D25" s="223">
        <v>41.1</v>
      </c>
      <c r="E25" s="29" t="s">
        <v>58</v>
      </c>
      <c r="F25" s="7" t="s">
        <v>59</v>
      </c>
      <c r="G25" s="7" t="s">
        <v>11</v>
      </c>
      <c r="H25" s="26" t="s">
        <v>19</v>
      </c>
      <c r="I25" s="9" t="s">
        <v>226</v>
      </c>
    </row>
    <row r="26" spans="1:9" ht="66">
      <c r="A26" s="238">
        <v>24</v>
      </c>
      <c r="B26" s="29" t="s">
        <v>33</v>
      </c>
      <c r="C26" s="26" t="s">
        <v>16</v>
      </c>
      <c r="D26" s="32">
        <v>59</v>
      </c>
      <c r="E26" s="29" t="s">
        <v>60</v>
      </c>
      <c r="F26" s="7" t="s">
        <v>61</v>
      </c>
      <c r="G26" s="7" t="s">
        <v>11</v>
      </c>
      <c r="H26" s="26" t="s">
        <v>19</v>
      </c>
      <c r="I26" s="9" t="s">
        <v>226</v>
      </c>
    </row>
    <row r="27" spans="1:9" ht="99">
      <c r="A27" s="238">
        <v>25</v>
      </c>
      <c r="B27" s="29" t="s">
        <v>33</v>
      </c>
      <c r="C27" s="26" t="s">
        <v>16</v>
      </c>
      <c r="D27" s="32">
        <v>48</v>
      </c>
      <c r="E27" s="29" t="s">
        <v>62</v>
      </c>
      <c r="F27" s="7" t="s">
        <v>63</v>
      </c>
      <c r="G27" s="7" t="s">
        <v>11</v>
      </c>
      <c r="H27" s="26" t="s">
        <v>19</v>
      </c>
      <c r="I27" s="9" t="s">
        <v>226</v>
      </c>
    </row>
    <row r="28" spans="1:9" ht="68.25" customHeight="1">
      <c r="A28" s="238">
        <v>26</v>
      </c>
      <c r="B28" s="29" t="s">
        <v>64</v>
      </c>
      <c r="C28" s="26" t="s">
        <v>9</v>
      </c>
      <c r="D28" s="26">
        <v>28</v>
      </c>
      <c r="E28" s="29" t="s">
        <v>65</v>
      </c>
      <c r="F28" s="7">
        <v>3575292</v>
      </c>
      <c r="G28" s="7" t="s">
        <v>11</v>
      </c>
      <c r="H28" s="26" t="s">
        <v>29</v>
      </c>
      <c r="I28" s="9" t="s">
        <v>226</v>
      </c>
    </row>
    <row r="29" spans="1:9" ht="49.5">
      <c r="A29" s="238">
        <v>27</v>
      </c>
      <c r="B29" s="29" t="s">
        <v>66</v>
      </c>
      <c r="C29" s="26" t="s">
        <v>9</v>
      </c>
      <c r="D29" s="26">
        <v>73.3</v>
      </c>
      <c r="E29" s="29" t="s">
        <v>67</v>
      </c>
      <c r="F29" s="7">
        <v>1196965</v>
      </c>
      <c r="G29" s="7" t="s">
        <v>43</v>
      </c>
      <c r="H29" s="26" t="s">
        <v>12</v>
      </c>
      <c r="I29" s="9" t="s">
        <v>226</v>
      </c>
    </row>
    <row r="30" spans="1:9" ht="63.75" customHeight="1">
      <c r="A30" s="238">
        <v>28</v>
      </c>
      <c r="B30" s="29" t="s">
        <v>68</v>
      </c>
      <c r="C30" s="26" t="s">
        <v>69</v>
      </c>
      <c r="D30" s="26">
        <v>3</v>
      </c>
      <c r="E30" s="29" t="s">
        <v>70</v>
      </c>
      <c r="F30" s="7">
        <v>60204902</v>
      </c>
      <c r="G30" s="7" t="s">
        <v>43</v>
      </c>
      <c r="H30" s="26" t="s">
        <v>29</v>
      </c>
      <c r="I30" s="9" t="s">
        <v>226</v>
      </c>
    </row>
    <row r="31" spans="1:9" ht="66">
      <c r="A31" s="238">
        <v>29</v>
      </c>
      <c r="B31" s="29" t="s">
        <v>68</v>
      </c>
      <c r="C31" s="26" t="s">
        <v>13</v>
      </c>
      <c r="D31" s="26">
        <v>51</v>
      </c>
      <c r="E31" s="29" t="s">
        <v>71</v>
      </c>
      <c r="F31" s="7"/>
      <c r="G31" s="7" t="s">
        <v>11</v>
      </c>
      <c r="H31" s="26" t="s">
        <v>12</v>
      </c>
      <c r="I31" s="9" t="s">
        <v>226</v>
      </c>
    </row>
    <row r="32" spans="1:9" ht="66">
      <c r="A32" s="238">
        <v>30</v>
      </c>
      <c r="B32" s="29" t="s">
        <v>72</v>
      </c>
      <c r="C32" s="26" t="s">
        <v>13</v>
      </c>
      <c r="D32" s="26">
        <v>70</v>
      </c>
      <c r="E32" s="29" t="s">
        <v>73</v>
      </c>
      <c r="F32" s="7">
        <v>497820</v>
      </c>
      <c r="G32" s="7" t="s">
        <v>43</v>
      </c>
      <c r="H32" s="26" t="s">
        <v>12</v>
      </c>
      <c r="I32" s="9" t="s">
        <v>226</v>
      </c>
    </row>
    <row r="33" spans="1:9" ht="33">
      <c r="A33" s="238">
        <v>31</v>
      </c>
      <c r="B33" s="29" t="s">
        <v>74</v>
      </c>
      <c r="C33" s="26" t="s">
        <v>75</v>
      </c>
      <c r="D33" s="26">
        <v>3</v>
      </c>
      <c r="E33" s="29" t="s">
        <v>76</v>
      </c>
      <c r="F33" s="7">
        <v>265304</v>
      </c>
      <c r="G33" s="7" t="s">
        <v>11</v>
      </c>
      <c r="H33" s="26" t="s">
        <v>77</v>
      </c>
      <c r="I33" s="9" t="s">
        <v>226</v>
      </c>
    </row>
    <row r="34" spans="1:9" ht="33">
      <c r="A34" s="238">
        <v>32</v>
      </c>
      <c r="B34" s="29" t="s">
        <v>74</v>
      </c>
      <c r="C34" s="26" t="s">
        <v>78</v>
      </c>
      <c r="D34" s="26">
        <v>8</v>
      </c>
      <c r="E34" s="29" t="s">
        <v>79</v>
      </c>
      <c r="F34" s="7">
        <v>1982704</v>
      </c>
      <c r="G34" s="7" t="s">
        <v>11</v>
      </c>
      <c r="H34" s="26" t="s">
        <v>29</v>
      </c>
      <c r="I34" s="9" t="s">
        <v>226</v>
      </c>
    </row>
    <row r="35" spans="1:9" ht="49.5">
      <c r="A35" s="238">
        <v>33</v>
      </c>
      <c r="B35" s="29" t="s">
        <v>74</v>
      </c>
      <c r="C35" s="26" t="s">
        <v>80</v>
      </c>
      <c r="D35" s="26">
        <v>2</v>
      </c>
      <c r="E35" s="29" t="s">
        <v>81</v>
      </c>
      <c r="F35" s="7">
        <v>94172</v>
      </c>
      <c r="G35" s="7" t="s">
        <v>11</v>
      </c>
      <c r="H35" s="26" t="s">
        <v>12</v>
      </c>
      <c r="I35" s="9" t="s">
        <v>226</v>
      </c>
    </row>
    <row r="36" spans="1:9" ht="66">
      <c r="A36" s="238">
        <v>34</v>
      </c>
      <c r="B36" s="205" t="s">
        <v>74</v>
      </c>
      <c r="C36" s="221" t="s">
        <v>80</v>
      </c>
      <c r="D36" s="221">
        <v>6</v>
      </c>
      <c r="E36" s="205" t="s">
        <v>82</v>
      </c>
      <c r="F36" s="173">
        <v>4734721</v>
      </c>
      <c r="G36" s="173" t="s">
        <v>11</v>
      </c>
      <c r="H36" s="221" t="s">
        <v>29</v>
      </c>
      <c r="I36" s="9" t="s">
        <v>226</v>
      </c>
    </row>
    <row r="37" spans="1:9" ht="33">
      <c r="A37" s="238">
        <v>35</v>
      </c>
      <c r="B37" s="205" t="s">
        <v>83</v>
      </c>
      <c r="C37" s="221" t="s">
        <v>84</v>
      </c>
      <c r="D37" s="221">
        <v>1</v>
      </c>
      <c r="E37" s="205" t="s">
        <v>85</v>
      </c>
      <c r="F37" s="173">
        <v>8112034</v>
      </c>
      <c r="G37" s="7" t="s">
        <v>11</v>
      </c>
      <c r="H37" s="26" t="s">
        <v>29</v>
      </c>
      <c r="I37" s="9" t="s">
        <v>226</v>
      </c>
    </row>
    <row r="38" spans="1:9" ht="33">
      <c r="A38" s="238">
        <v>36</v>
      </c>
      <c r="B38" s="29" t="s">
        <v>83</v>
      </c>
      <c r="C38" s="26" t="s">
        <v>84</v>
      </c>
      <c r="D38" s="26">
        <v>2</v>
      </c>
      <c r="E38" s="29" t="s">
        <v>86</v>
      </c>
      <c r="F38" s="7">
        <v>7077084</v>
      </c>
      <c r="G38" s="7" t="s">
        <v>11</v>
      </c>
      <c r="H38" s="26" t="s">
        <v>87</v>
      </c>
      <c r="I38" s="9" t="s">
        <v>226</v>
      </c>
    </row>
    <row r="39" spans="1:9" ht="60" customHeight="1">
      <c r="A39" s="238">
        <v>37</v>
      </c>
      <c r="B39" s="29" t="s">
        <v>88</v>
      </c>
      <c r="C39" s="26" t="s">
        <v>89</v>
      </c>
      <c r="D39" s="26">
        <v>63</v>
      </c>
      <c r="E39" s="29" t="s">
        <v>90</v>
      </c>
      <c r="F39" s="7">
        <v>2566191</v>
      </c>
      <c r="G39" s="7" t="s">
        <v>11</v>
      </c>
      <c r="H39" s="26" t="s">
        <v>49</v>
      </c>
      <c r="I39" s="9" t="s">
        <v>226</v>
      </c>
    </row>
    <row r="40" spans="1:9" ht="49.5">
      <c r="A40" s="238">
        <v>38</v>
      </c>
      <c r="B40" s="205" t="s">
        <v>91</v>
      </c>
      <c r="C40" s="221" t="s">
        <v>13</v>
      </c>
      <c r="D40" s="221">
        <v>40.299999999999997</v>
      </c>
      <c r="E40" s="205" t="s">
        <v>92</v>
      </c>
      <c r="F40" s="173">
        <v>3553088</v>
      </c>
      <c r="G40" s="173" t="s">
        <v>11</v>
      </c>
      <c r="H40" s="221" t="s">
        <v>29</v>
      </c>
      <c r="I40" s="9" t="s">
        <v>226</v>
      </c>
    </row>
    <row r="41" spans="1:9" ht="63" customHeight="1">
      <c r="A41" s="238">
        <v>39</v>
      </c>
      <c r="B41" s="29" t="s">
        <v>91</v>
      </c>
      <c r="C41" s="26" t="s">
        <v>13</v>
      </c>
      <c r="D41" s="26">
        <v>58</v>
      </c>
      <c r="E41" s="29" t="s">
        <v>93</v>
      </c>
      <c r="F41" s="7">
        <v>9062231</v>
      </c>
      <c r="G41" s="7" t="s">
        <v>43</v>
      </c>
      <c r="H41" s="26" t="s">
        <v>19</v>
      </c>
      <c r="I41" s="9" t="s">
        <v>226</v>
      </c>
    </row>
    <row r="42" spans="1:9" ht="66.75" customHeight="1">
      <c r="A42" s="238">
        <v>40</v>
      </c>
      <c r="B42" s="29" t="s">
        <v>91</v>
      </c>
      <c r="C42" s="26" t="s">
        <v>13</v>
      </c>
      <c r="D42" s="26">
        <v>71.2</v>
      </c>
      <c r="E42" s="29" t="s">
        <v>94</v>
      </c>
      <c r="F42" s="7">
        <v>14348547</v>
      </c>
      <c r="G42" s="7" t="s">
        <v>43</v>
      </c>
      <c r="H42" s="26" t="s">
        <v>12</v>
      </c>
      <c r="I42" s="9" t="s">
        <v>226</v>
      </c>
    </row>
    <row r="43" spans="1:9" ht="79.5" customHeight="1">
      <c r="A43" s="238">
        <v>41</v>
      </c>
      <c r="B43" s="29" t="s">
        <v>91</v>
      </c>
      <c r="C43" s="26" t="s">
        <v>13</v>
      </c>
      <c r="D43" s="26">
        <v>80.099999999999994</v>
      </c>
      <c r="E43" s="29" t="s">
        <v>95</v>
      </c>
      <c r="F43" s="7"/>
      <c r="G43" s="7" t="s">
        <v>43</v>
      </c>
      <c r="H43" s="26" t="s">
        <v>47</v>
      </c>
      <c r="I43" s="9" t="s">
        <v>226</v>
      </c>
    </row>
    <row r="44" spans="1:9" ht="64.5" customHeight="1">
      <c r="A44" s="238">
        <v>42</v>
      </c>
      <c r="B44" s="29" t="s">
        <v>96</v>
      </c>
      <c r="C44" s="26" t="s">
        <v>13</v>
      </c>
      <c r="D44" s="26">
        <v>33</v>
      </c>
      <c r="E44" s="29" t="s">
        <v>97</v>
      </c>
      <c r="F44" s="7">
        <v>1752375</v>
      </c>
      <c r="G44" s="7" t="s">
        <v>11</v>
      </c>
      <c r="H44" s="26" t="s">
        <v>29</v>
      </c>
      <c r="I44" s="9" t="s">
        <v>226</v>
      </c>
    </row>
    <row r="45" spans="1:9" ht="63" customHeight="1">
      <c r="A45" s="238">
        <v>43</v>
      </c>
      <c r="B45" s="29" t="s">
        <v>96</v>
      </c>
      <c r="C45" s="26" t="s">
        <v>13</v>
      </c>
      <c r="D45" s="26">
        <v>47</v>
      </c>
      <c r="E45" s="29" t="s">
        <v>14</v>
      </c>
      <c r="F45" s="7">
        <v>1115535</v>
      </c>
      <c r="G45" s="7" t="s">
        <v>11</v>
      </c>
      <c r="H45" s="26" t="s">
        <v>12</v>
      </c>
      <c r="I45" s="9" t="s">
        <v>226</v>
      </c>
    </row>
    <row r="46" spans="1:9" ht="49.5">
      <c r="A46" s="238">
        <v>44</v>
      </c>
      <c r="B46" s="29" t="s">
        <v>96</v>
      </c>
      <c r="C46" s="26" t="s">
        <v>13</v>
      </c>
      <c r="D46" s="26">
        <v>48</v>
      </c>
      <c r="E46" s="29" t="s">
        <v>98</v>
      </c>
      <c r="F46" s="7">
        <v>14728685</v>
      </c>
      <c r="G46" s="7" t="s">
        <v>11</v>
      </c>
      <c r="H46" s="26" t="s">
        <v>12</v>
      </c>
      <c r="I46" s="9" t="s">
        <v>226</v>
      </c>
    </row>
    <row r="47" spans="1:9" ht="65.25" customHeight="1">
      <c r="A47" s="238">
        <v>45</v>
      </c>
      <c r="B47" s="29" t="s">
        <v>96</v>
      </c>
      <c r="C47" s="26" t="s">
        <v>13</v>
      </c>
      <c r="D47" s="26">
        <v>61</v>
      </c>
      <c r="E47" s="29" t="s">
        <v>99</v>
      </c>
      <c r="F47" s="7">
        <v>18544</v>
      </c>
      <c r="G47" s="7" t="s">
        <v>43</v>
      </c>
      <c r="H47" s="26" t="s">
        <v>12</v>
      </c>
      <c r="I47" s="9" t="s">
        <v>226</v>
      </c>
    </row>
    <row r="48" spans="1:9" ht="66" customHeight="1">
      <c r="A48" s="238">
        <v>46</v>
      </c>
      <c r="B48" s="29" t="s">
        <v>96</v>
      </c>
      <c r="C48" s="26" t="s">
        <v>13</v>
      </c>
      <c r="D48" s="26">
        <v>81</v>
      </c>
      <c r="E48" s="29" t="s">
        <v>100</v>
      </c>
      <c r="F48" s="7">
        <v>41493</v>
      </c>
      <c r="G48" s="7" t="s">
        <v>43</v>
      </c>
      <c r="H48" s="26" t="s">
        <v>12</v>
      </c>
      <c r="I48" s="9" t="s">
        <v>226</v>
      </c>
    </row>
    <row r="49" spans="1:9" ht="63.75" customHeight="1">
      <c r="A49" s="238">
        <v>47</v>
      </c>
      <c r="B49" s="29" t="s">
        <v>101</v>
      </c>
      <c r="C49" s="26" t="s">
        <v>102</v>
      </c>
      <c r="D49" s="26">
        <v>1</v>
      </c>
      <c r="E49" s="29" t="s">
        <v>103</v>
      </c>
      <c r="F49" s="7">
        <v>57812842</v>
      </c>
      <c r="G49" s="7" t="s">
        <v>11</v>
      </c>
      <c r="H49" s="26" t="s">
        <v>29</v>
      </c>
      <c r="I49" s="9" t="s">
        <v>226</v>
      </c>
    </row>
    <row r="50" spans="1:9" ht="72" customHeight="1">
      <c r="A50" s="238">
        <v>48</v>
      </c>
      <c r="B50" s="29" t="s">
        <v>101</v>
      </c>
      <c r="C50" s="26" t="s">
        <v>104</v>
      </c>
      <c r="D50" s="26">
        <v>1</v>
      </c>
      <c r="E50" s="29" t="s">
        <v>105</v>
      </c>
      <c r="F50" s="7">
        <v>25830513</v>
      </c>
      <c r="G50" s="7" t="s">
        <v>11</v>
      </c>
      <c r="H50" s="26" t="s">
        <v>29</v>
      </c>
      <c r="I50" s="9" t="s">
        <v>226</v>
      </c>
    </row>
    <row r="51" spans="1:9" ht="49.5">
      <c r="A51" s="238">
        <v>49</v>
      </c>
      <c r="B51" s="29" t="s">
        <v>101</v>
      </c>
      <c r="C51" s="26" t="s">
        <v>104</v>
      </c>
      <c r="D51" s="26">
        <v>4</v>
      </c>
      <c r="E51" s="29" t="s">
        <v>106</v>
      </c>
      <c r="F51" s="7">
        <v>2144772</v>
      </c>
      <c r="G51" s="7" t="s">
        <v>11</v>
      </c>
      <c r="H51" s="26" t="s">
        <v>29</v>
      </c>
      <c r="I51" s="9" t="s">
        <v>226</v>
      </c>
    </row>
    <row r="52" spans="1:9" ht="49.5">
      <c r="A52" s="238">
        <v>50</v>
      </c>
      <c r="B52" s="29" t="s">
        <v>101</v>
      </c>
      <c r="C52" s="26" t="s">
        <v>69</v>
      </c>
      <c r="D52" s="26">
        <v>3</v>
      </c>
      <c r="E52" s="29" t="s">
        <v>107</v>
      </c>
      <c r="F52" s="7">
        <v>39274865</v>
      </c>
      <c r="G52" s="7" t="s">
        <v>43</v>
      </c>
      <c r="H52" s="26" t="s">
        <v>29</v>
      </c>
      <c r="I52" s="9" t="s">
        <v>226</v>
      </c>
    </row>
    <row r="53" spans="1:9" ht="63" customHeight="1">
      <c r="A53" s="238">
        <v>51</v>
      </c>
      <c r="B53" s="29" t="s">
        <v>101</v>
      </c>
      <c r="C53" s="26" t="s">
        <v>9</v>
      </c>
      <c r="D53" s="26">
        <v>27</v>
      </c>
      <c r="E53" s="29" t="s">
        <v>108</v>
      </c>
      <c r="F53" s="7">
        <v>1424177</v>
      </c>
      <c r="G53" s="7" t="s">
        <v>11</v>
      </c>
      <c r="H53" s="26" t="s">
        <v>29</v>
      </c>
      <c r="I53" s="9" t="s">
        <v>226</v>
      </c>
    </row>
    <row r="54" spans="1:9" ht="49.5">
      <c r="A54" s="238">
        <v>52</v>
      </c>
      <c r="B54" s="29" t="s">
        <v>101</v>
      </c>
      <c r="C54" s="26" t="s">
        <v>9</v>
      </c>
      <c r="D54" s="26">
        <v>56</v>
      </c>
      <c r="E54" s="29" t="s">
        <v>109</v>
      </c>
      <c r="F54" s="7">
        <v>15452761</v>
      </c>
      <c r="G54" s="7" t="s">
        <v>43</v>
      </c>
      <c r="H54" s="26" t="s">
        <v>29</v>
      </c>
      <c r="I54" s="9" t="s">
        <v>226</v>
      </c>
    </row>
    <row r="55" spans="1:9" s="8" customFormat="1" ht="33">
      <c r="A55" s="238">
        <v>53</v>
      </c>
      <c r="B55" s="205" t="s">
        <v>110</v>
      </c>
      <c r="C55" s="221" t="s">
        <v>111</v>
      </c>
      <c r="D55" s="221">
        <v>1</v>
      </c>
      <c r="E55" s="205" t="s">
        <v>112</v>
      </c>
      <c r="F55" s="173">
        <v>351291</v>
      </c>
      <c r="G55" s="173" t="s">
        <v>11</v>
      </c>
      <c r="H55" s="221" t="s">
        <v>47</v>
      </c>
      <c r="I55" s="9" t="s">
        <v>226</v>
      </c>
    </row>
    <row r="56" spans="1:9" s="8" customFormat="1" ht="33">
      <c r="A56" s="238">
        <v>54</v>
      </c>
      <c r="B56" s="205" t="s">
        <v>110</v>
      </c>
      <c r="C56" s="221" t="s">
        <v>111</v>
      </c>
      <c r="D56" s="221">
        <v>2</v>
      </c>
      <c r="E56" s="205" t="s">
        <v>113</v>
      </c>
      <c r="F56" s="173">
        <v>519053</v>
      </c>
      <c r="G56" s="173" t="s">
        <v>11</v>
      </c>
      <c r="H56" s="221" t="s">
        <v>47</v>
      </c>
      <c r="I56" s="9" t="s">
        <v>226</v>
      </c>
    </row>
    <row r="57" spans="1:9" ht="49.5">
      <c r="A57" s="238">
        <v>55</v>
      </c>
      <c r="B57" s="29" t="s">
        <v>110</v>
      </c>
      <c r="C57" s="26" t="s">
        <v>114</v>
      </c>
      <c r="D57" s="26">
        <v>3</v>
      </c>
      <c r="E57" s="29" t="s">
        <v>115</v>
      </c>
      <c r="F57" s="7">
        <v>1909692</v>
      </c>
      <c r="G57" s="7" t="s">
        <v>11</v>
      </c>
      <c r="H57" s="26" t="s">
        <v>12</v>
      </c>
      <c r="I57" s="9" t="s">
        <v>226</v>
      </c>
    </row>
    <row r="58" spans="1:9" s="8" customFormat="1" ht="65.25" customHeight="1">
      <c r="A58" s="238">
        <v>56</v>
      </c>
      <c r="B58" s="205" t="s">
        <v>110</v>
      </c>
      <c r="C58" s="221" t="s">
        <v>89</v>
      </c>
      <c r="D58" s="221">
        <v>63</v>
      </c>
      <c r="E58" s="205" t="s">
        <v>116</v>
      </c>
      <c r="F58" s="173">
        <v>4877119</v>
      </c>
      <c r="G58" s="173" t="s">
        <v>11</v>
      </c>
      <c r="H58" s="221" t="s">
        <v>49</v>
      </c>
      <c r="I58" s="9" t="s">
        <v>226</v>
      </c>
    </row>
    <row r="59" spans="1:9" ht="66">
      <c r="A59" s="238">
        <v>57</v>
      </c>
      <c r="B59" s="29" t="s">
        <v>110</v>
      </c>
      <c r="C59" s="26" t="s">
        <v>16</v>
      </c>
      <c r="D59" s="223">
        <v>65.5</v>
      </c>
      <c r="E59" s="29" t="s">
        <v>117</v>
      </c>
      <c r="F59" s="7">
        <v>0</v>
      </c>
      <c r="G59" s="7" t="s">
        <v>11</v>
      </c>
      <c r="H59" s="26" t="s">
        <v>12</v>
      </c>
      <c r="I59" s="9" t="s">
        <v>226</v>
      </c>
    </row>
    <row r="60" spans="1:9" ht="49.5">
      <c r="A60" s="238">
        <v>58</v>
      </c>
      <c r="B60" s="29" t="s">
        <v>110</v>
      </c>
      <c r="C60" s="26" t="s">
        <v>16</v>
      </c>
      <c r="D60" s="224">
        <v>18.14</v>
      </c>
      <c r="E60" s="29" t="s">
        <v>118</v>
      </c>
      <c r="F60" s="7" t="s">
        <v>119</v>
      </c>
      <c r="G60" s="7" t="s">
        <v>11</v>
      </c>
      <c r="H60" s="26" t="s">
        <v>29</v>
      </c>
      <c r="I60" s="9" t="s">
        <v>226</v>
      </c>
    </row>
    <row r="61" spans="1:9" ht="66">
      <c r="A61" s="238">
        <v>59</v>
      </c>
      <c r="B61" s="29" t="s">
        <v>110</v>
      </c>
      <c r="C61" s="26" t="s">
        <v>16</v>
      </c>
      <c r="D61" s="32">
        <v>88</v>
      </c>
      <c r="E61" s="29" t="s">
        <v>120</v>
      </c>
      <c r="F61" s="7" t="s">
        <v>121</v>
      </c>
      <c r="G61" s="7" t="s">
        <v>43</v>
      </c>
      <c r="H61" s="26" t="s">
        <v>12</v>
      </c>
      <c r="I61" s="9" t="s">
        <v>226</v>
      </c>
    </row>
    <row r="62" spans="1:9" ht="49.5">
      <c r="A62" s="238">
        <v>60</v>
      </c>
      <c r="B62" s="29" t="s">
        <v>122</v>
      </c>
      <c r="C62" s="26" t="s">
        <v>13</v>
      </c>
      <c r="D62" s="26">
        <v>13.3</v>
      </c>
      <c r="E62" s="29" t="s">
        <v>123</v>
      </c>
      <c r="F62" s="7">
        <v>1870243</v>
      </c>
      <c r="G62" s="7" t="s">
        <v>11</v>
      </c>
      <c r="H62" s="26" t="s">
        <v>29</v>
      </c>
      <c r="I62" s="9" t="s">
        <v>226</v>
      </c>
    </row>
    <row r="63" spans="1:9" ht="49.5">
      <c r="A63" s="238">
        <v>61</v>
      </c>
      <c r="B63" s="29" t="s">
        <v>122</v>
      </c>
      <c r="C63" s="26" t="s">
        <v>13</v>
      </c>
      <c r="D63" s="26">
        <v>33.299999999999997</v>
      </c>
      <c r="E63" s="29" t="s">
        <v>97</v>
      </c>
      <c r="F63" s="7">
        <v>464901</v>
      </c>
      <c r="G63" s="7" t="s">
        <v>11</v>
      </c>
      <c r="H63" s="26" t="s">
        <v>47</v>
      </c>
      <c r="I63" s="9" t="s">
        <v>226</v>
      </c>
    </row>
    <row r="64" spans="1:9" ht="33">
      <c r="A64" s="238">
        <v>62</v>
      </c>
      <c r="B64" s="29" t="s">
        <v>122</v>
      </c>
      <c r="C64" s="26" t="s">
        <v>13</v>
      </c>
      <c r="D64" s="26">
        <v>42.4</v>
      </c>
      <c r="E64" s="29" t="s">
        <v>124</v>
      </c>
      <c r="F64" s="7">
        <v>2089941</v>
      </c>
      <c r="G64" s="7" t="s">
        <v>11</v>
      </c>
      <c r="H64" s="26" t="s">
        <v>29</v>
      </c>
      <c r="I64" s="9" t="s">
        <v>226</v>
      </c>
    </row>
    <row r="65" spans="1:9" ht="49.5">
      <c r="A65" s="238">
        <v>63</v>
      </c>
      <c r="B65" s="29" t="s">
        <v>122</v>
      </c>
      <c r="C65" s="26" t="s">
        <v>13</v>
      </c>
      <c r="D65" s="26">
        <v>47.1</v>
      </c>
      <c r="E65" s="29" t="s">
        <v>14</v>
      </c>
      <c r="F65" s="7">
        <v>557205</v>
      </c>
      <c r="G65" s="7" t="s">
        <v>11</v>
      </c>
      <c r="H65" s="26" t="s">
        <v>12</v>
      </c>
      <c r="I65" s="9" t="s">
        <v>226</v>
      </c>
    </row>
    <row r="66" spans="1:9" ht="49.5">
      <c r="A66" s="238">
        <v>64</v>
      </c>
      <c r="B66" s="29" t="s">
        <v>125</v>
      </c>
      <c r="C66" s="26" t="s">
        <v>126</v>
      </c>
      <c r="D66" s="26">
        <v>2</v>
      </c>
      <c r="E66" s="29" t="s">
        <v>127</v>
      </c>
      <c r="F66" s="7">
        <v>81015881</v>
      </c>
      <c r="G66" s="7" t="s">
        <v>11</v>
      </c>
      <c r="H66" s="26" t="s">
        <v>29</v>
      </c>
      <c r="I66" s="9" t="s">
        <v>226</v>
      </c>
    </row>
    <row r="67" spans="1:9" ht="49.5">
      <c r="A67" s="238">
        <v>65</v>
      </c>
      <c r="B67" s="205" t="s">
        <v>125</v>
      </c>
      <c r="C67" s="221" t="s">
        <v>13</v>
      </c>
      <c r="D67" s="221">
        <v>33.4</v>
      </c>
      <c r="E67" s="205" t="s">
        <v>97</v>
      </c>
      <c r="F67" s="173">
        <v>14364375</v>
      </c>
      <c r="G67" s="7" t="s">
        <v>11</v>
      </c>
      <c r="H67" s="26" t="s">
        <v>29</v>
      </c>
      <c r="I67" s="9" t="s">
        <v>226</v>
      </c>
    </row>
    <row r="68" spans="1:9" ht="66">
      <c r="A68" s="238">
        <v>66</v>
      </c>
      <c r="B68" s="29" t="s">
        <v>125</v>
      </c>
      <c r="C68" s="26" t="s">
        <v>16</v>
      </c>
      <c r="D68" s="223">
        <v>63.2</v>
      </c>
      <c r="E68" s="29" t="s">
        <v>128</v>
      </c>
      <c r="F68" s="7" t="s">
        <v>129</v>
      </c>
      <c r="G68" s="7" t="s">
        <v>11</v>
      </c>
      <c r="H68" s="26" t="s">
        <v>44</v>
      </c>
      <c r="I68" s="9" t="s">
        <v>226</v>
      </c>
    </row>
    <row r="69" spans="1:9" ht="49.5">
      <c r="A69" s="238">
        <v>67</v>
      </c>
      <c r="B69" s="29" t="s">
        <v>125</v>
      </c>
      <c r="C69" s="26" t="s">
        <v>16</v>
      </c>
      <c r="D69" s="224">
        <v>18.16</v>
      </c>
      <c r="E69" s="29" t="s">
        <v>130</v>
      </c>
      <c r="F69" s="7" t="s">
        <v>131</v>
      </c>
      <c r="G69" s="7" t="s">
        <v>11</v>
      </c>
      <c r="H69" s="26" t="s">
        <v>29</v>
      </c>
      <c r="I69" s="9" t="s">
        <v>226</v>
      </c>
    </row>
    <row r="70" spans="1:9" ht="99">
      <c r="A70" s="238">
        <v>68</v>
      </c>
      <c r="B70" s="29" t="s">
        <v>125</v>
      </c>
      <c r="C70" s="26" t="s">
        <v>16</v>
      </c>
      <c r="D70" s="32">
        <v>93</v>
      </c>
      <c r="E70" s="29" t="s">
        <v>132</v>
      </c>
      <c r="F70" s="7" t="s">
        <v>133</v>
      </c>
      <c r="G70" s="7" t="s">
        <v>43</v>
      </c>
      <c r="H70" s="26" t="s">
        <v>19</v>
      </c>
      <c r="I70" s="9" t="s">
        <v>226</v>
      </c>
    </row>
    <row r="71" spans="1:9" ht="63.75" customHeight="1">
      <c r="A71" s="238">
        <v>69</v>
      </c>
      <c r="B71" s="29" t="s">
        <v>134</v>
      </c>
      <c r="C71" s="26" t="s">
        <v>135</v>
      </c>
      <c r="D71" s="26">
        <v>1</v>
      </c>
      <c r="E71" s="29" t="s">
        <v>136</v>
      </c>
      <c r="F71" s="7">
        <v>90000</v>
      </c>
      <c r="G71" s="7" t="s">
        <v>11</v>
      </c>
      <c r="H71" s="26" t="s">
        <v>77</v>
      </c>
      <c r="I71" s="9" t="s">
        <v>226</v>
      </c>
    </row>
    <row r="72" spans="1:9" ht="33">
      <c r="A72" s="238">
        <v>70</v>
      </c>
      <c r="B72" s="29" t="s">
        <v>134</v>
      </c>
      <c r="C72" s="26" t="s">
        <v>137</v>
      </c>
      <c r="D72" s="26">
        <v>1</v>
      </c>
      <c r="E72" s="29" t="s">
        <v>138</v>
      </c>
      <c r="F72" s="7">
        <v>1530000</v>
      </c>
      <c r="G72" s="7" t="s">
        <v>11</v>
      </c>
      <c r="H72" s="26" t="s">
        <v>77</v>
      </c>
      <c r="I72" s="9" t="s">
        <v>226</v>
      </c>
    </row>
    <row r="73" spans="1:9" ht="49.5">
      <c r="A73" s="238">
        <v>71</v>
      </c>
      <c r="B73" s="29" t="s">
        <v>134</v>
      </c>
      <c r="C73" s="26" t="s">
        <v>37</v>
      </c>
      <c r="D73" s="26">
        <v>15</v>
      </c>
      <c r="E73" s="29" t="s">
        <v>139</v>
      </c>
      <c r="F73" s="7">
        <v>153862</v>
      </c>
      <c r="G73" s="7" t="s">
        <v>43</v>
      </c>
      <c r="H73" s="26" t="s">
        <v>49</v>
      </c>
      <c r="I73" s="9" t="s">
        <v>226</v>
      </c>
    </row>
    <row r="74" spans="1:9" ht="66">
      <c r="A74" s="238">
        <v>72</v>
      </c>
      <c r="B74" s="29" t="s">
        <v>134</v>
      </c>
      <c r="C74" s="26" t="s">
        <v>16</v>
      </c>
      <c r="D74" s="223">
        <v>63.3</v>
      </c>
      <c r="E74" s="29" t="s">
        <v>140</v>
      </c>
      <c r="F74" s="7" t="s">
        <v>141</v>
      </c>
      <c r="G74" s="7" t="s">
        <v>11</v>
      </c>
      <c r="H74" s="26" t="s">
        <v>44</v>
      </c>
      <c r="I74" s="9" t="s">
        <v>226</v>
      </c>
    </row>
    <row r="75" spans="1:9" ht="78" customHeight="1">
      <c r="A75" s="238">
        <v>73</v>
      </c>
      <c r="B75" s="29" t="s">
        <v>134</v>
      </c>
      <c r="C75" s="26" t="s">
        <v>16</v>
      </c>
      <c r="D75" s="26" t="s">
        <v>142</v>
      </c>
      <c r="E75" s="29" t="s">
        <v>143</v>
      </c>
      <c r="F75" s="7" t="s">
        <v>144</v>
      </c>
      <c r="G75" s="7" t="s">
        <v>11</v>
      </c>
      <c r="H75" s="26" t="s">
        <v>29</v>
      </c>
      <c r="I75" s="9" t="s">
        <v>226</v>
      </c>
    </row>
    <row r="76" spans="1:9" ht="66">
      <c r="A76" s="238">
        <v>74</v>
      </c>
      <c r="B76" s="29" t="s">
        <v>134</v>
      </c>
      <c r="C76" s="26" t="s">
        <v>16</v>
      </c>
      <c r="D76" s="32">
        <v>35</v>
      </c>
      <c r="E76" s="29" t="s">
        <v>145</v>
      </c>
      <c r="F76" s="7" t="s">
        <v>146</v>
      </c>
      <c r="G76" s="7" t="s">
        <v>11</v>
      </c>
      <c r="H76" s="26" t="s">
        <v>12</v>
      </c>
      <c r="I76" s="9" t="s">
        <v>226</v>
      </c>
    </row>
    <row r="77" spans="1:9" ht="82.5">
      <c r="A77" s="238">
        <v>75</v>
      </c>
      <c r="B77" s="29" t="s">
        <v>134</v>
      </c>
      <c r="C77" s="26" t="s">
        <v>16</v>
      </c>
      <c r="D77" s="32">
        <v>85</v>
      </c>
      <c r="E77" s="29" t="s">
        <v>147</v>
      </c>
      <c r="F77" s="7" t="s">
        <v>148</v>
      </c>
      <c r="G77" s="7" t="s">
        <v>43</v>
      </c>
      <c r="H77" s="26" t="s">
        <v>19</v>
      </c>
      <c r="I77" s="9" t="s">
        <v>226</v>
      </c>
    </row>
    <row r="78" spans="1:9" ht="49.5">
      <c r="A78" s="238">
        <v>76</v>
      </c>
      <c r="B78" s="29" t="s">
        <v>149</v>
      </c>
      <c r="C78" s="26" t="s">
        <v>78</v>
      </c>
      <c r="D78" s="26">
        <v>2</v>
      </c>
      <c r="E78" s="29" t="s">
        <v>150</v>
      </c>
      <c r="F78" s="7">
        <v>127297226</v>
      </c>
      <c r="G78" s="7" t="s">
        <v>11</v>
      </c>
      <c r="H78" s="26" t="s">
        <v>29</v>
      </c>
      <c r="I78" s="9" t="s">
        <v>226</v>
      </c>
    </row>
    <row r="79" spans="1:9" ht="33">
      <c r="A79" s="238">
        <v>77</v>
      </c>
      <c r="B79" s="29" t="s">
        <v>149</v>
      </c>
      <c r="C79" s="26" t="s">
        <v>78</v>
      </c>
      <c r="D79" s="26">
        <v>3</v>
      </c>
      <c r="E79" s="29" t="s">
        <v>151</v>
      </c>
      <c r="F79" s="7">
        <v>970000</v>
      </c>
      <c r="G79" s="7" t="s">
        <v>11</v>
      </c>
      <c r="H79" s="26" t="s">
        <v>77</v>
      </c>
      <c r="I79" s="9" t="s">
        <v>226</v>
      </c>
    </row>
    <row r="80" spans="1:9" ht="64.5" customHeight="1">
      <c r="A80" s="238">
        <v>78</v>
      </c>
      <c r="B80" s="29" t="s">
        <v>149</v>
      </c>
      <c r="C80" s="26" t="s">
        <v>78</v>
      </c>
      <c r="D80" s="26">
        <v>5</v>
      </c>
      <c r="E80" s="29" t="s">
        <v>152</v>
      </c>
      <c r="F80" s="7">
        <v>2335484</v>
      </c>
      <c r="G80" s="7" t="s">
        <v>11</v>
      </c>
      <c r="H80" s="26" t="s">
        <v>12</v>
      </c>
      <c r="I80" s="9" t="s">
        <v>226</v>
      </c>
    </row>
    <row r="81" spans="1:9" ht="33">
      <c r="A81" s="238">
        <v>79</v>
      </c>
      <c r="B81" s="29" t="s">
        <v>149</v>
      </c>
      <c r="C81" s="26" t="s">
        <v>153</v>
      </c>
      <c r="D81" s="26">
        <v>4</v>
      </c>
      <c r="E81" s="29" t="s">
        <v>154</v>
      </c>
      <c r="F81" s="7">
        <v>501703</v>
      </c>
      <c r="G81" s="7" t="s">
        <v>11</v>
      </c>
      <c r="H81" s="26" t="s">
        <v>47</v>
      </c>
      <c r="I81" s="9" t="s">
        <v>226</v>
      </c>
    </row>
    <row r="82" spans="1:9" ht="99">
      <c r="A82" s="238">
        <v>80</v>
      </c>
      <c r="B82" s="29" t="s">
        <v>149</v>
      </c>
      <c r="C82" s="26" t="s">
        <v>155</v>
      </c>
      <c r="D82" s="26">
        <v>6</v>
      </c>
      <c r="E82" s="29" t="s">
        <v>156</v>
      </c>
      <c r="F82" s="7">
        <v>10542247</v>
      </c>
      <c r="G82" s="7" t="s">
        <v>11</v>
      </c>
      <c r="H82" s="26" t="s">
        <v>29</v>
      </c>
      <c r="I82" s="9" t="s">
        <v>226</v>
      </c>
    </row>
    <row r="83" spans="1:9" ht="66">
      <c r="A83" s="238">
        <v>81</v>
      </c>
      <c r="B83" s="29" t="s">
        <v>149</v>
      </c>
      <c r="C83" s="26" t="s">
        <v>157</v>
      </c>
      <c r="D83" s="26">
        <v>1</v>
      </c>
      <c r="E83" s="29" t="s">
        <v>158</v>
      </c>
      <c r="F83" s="7">
        <v>5952871</v>
      </c>
      <c r="G83" s="7" t="s">
        <v>11</v>
      </c>
      <c r="H83" s="26" t="s">
        <v>49</v>
      </c>
      <c r="I83" s="9" t="s">
        <v>226</v>
      </c>
    </row>
    <row r="84" spans="1:9" ht="49.5">
      <c r="A84" s="238">
        <v>82</v>
      </c>
      <c r="B84" s="29" t="s">
        <v>149</v>
      </c>
      <c r="C84" s="26" t="s">
        <v>37</v>
      </c>
      <c r="D84" s="26">
        <v>6</v>
      </c>
      <c r="E84" s="29" t="s">
        <v>159</v>
      </c>
      <c r="F84" s="7">
        <v>129705241</v>
      </c>
      <c r="G84" s="7" t="s">
        <v>11</v>
      </c>
      <c r="H84" s="26" t="s">
        <v>29</v>
      </c>
      <c r="I84" s="9" t="s">
        <v>226</v>
      </c>
    </row>
    <row r="85" spans="1:9" ht="33">
      <c r="A85" s="238">
        <v>83</v>
      </c>
      <c r="B85" s="29" t="s">
        <v>149</v>
      </c>
      <c r="C85" s="26" t="s">
        <v>37</v>
      </c>
      <c r="D85" s="26" t="s">
        <v>160</v>
      </c>
      <c r="E85" s="29" t="s">
        <v>161</v>
      </c>
      <c r="F85" s="7">
        <v>2960819</v>
      </c>
      <c r="G85" s="7" t="s">
        <v>43</v>
      </c>
      <c r="H85" s="26" t="s">
        <v>29</v>
      </c>
      <c r="I85" s="9" t="s">
        <v>226</v>
      </c>
    </row>
    <row r="86" spans="1:9" ht="49.5">
      <c r="A86" s="238">
        <v>84</v>
      </c>
      <c r="B86" s="29" t="s">
        <v>149</v>
      </c>
      <c r="C86" s="26" t="s">
        <v>37</v>
      </c>
      <c r="D86" s="26">
        <v>49</v>
      </c>
      <c r="E86" s="29" t="s">
        <v>162</v>
      </c>
      <c r="F86" s="7">
        <v>192660</v>
      </c>
      <c r="G86" s="7" t="s">
        <v>43</v>
      </c>
      <c r="H86" s="26" t="s">
        <v>47</v>
      </c>
      <c r="I86" s="9" t="s">
        <v>226</v>
      </c>
    </row>
    <row r="87" spans="1:9" ht="65.25" customHeight="1">
      <c r="A87" s="238">
        <v>85</v>
      </c>
      <c r="B87" s="29" t="s">
        <v>149</v>
      </c>
      <c r="C87" s="26" t="s">
        <v>37</v>
      </c>
      <c r="D87" s="26">
        <v>54</v>
      </c>
      <c r="E87" s="29" t="s">
        <v>163</v>
      </c>
      <c r="F87" s="7">
        <v>2097185</v>
      </c>
      <c r="G87" s="7" t="s">
        <v>43</v>
      </c>
      <c r="H87" s="26" t="s">
        <v>12</v>
      </c>
      <c r="I87" s="9" t="s">
        <v>226</v>
      </c>
    </row>
    <row r="88" spans="1:9" ht="49.5">
      <c r="A88" s="238">
        <v>86</v>
      </c>
      <c r="B88" s="29" t="s">
        <v>149</v>
      </c>
      <c r="C88" s="26" t="s">
        <v>13</v>
      </c>
      <c r="D88" s="26">
        <v>40.9</v>
      </c>
      <c r="E88" s="29" t="s">
        <v>164</v>
      </c>
      <c r="F88" s="7">
        <v>136669277</v>
      </c>
      <c r="G88" s="7" t="s">
        <v>11</v>
      </c>
      <c r="H88" s="26" t="s">
        <v>29</v>
      </c>
      <c r="I88" s="9" t="s">
        <v>226</v>
      </c>
    </row>
    <row r="89" spans="1:9" ht="49.5">
      <c r="A89" s="238">
        <v>87</v>
      </c>
      <c r="B89" s="29" t="s">
        <v>149</v>
      </c>
      <c r="C89" s="26" t="s">
        <v>13</v>
      </c>
      <c r="D89" s="26">
        <v>40.1</v>
      </c>
      <c r="E89" s="29" t="s">
        <v>164</v>
      </c>
      <c r="F89" s="7">
        <v>2437816</v>
      </c>
      <c r="G89" s="7" t="s">
        <v>11</v>
      </c>
      <c r="H89" s="26" t="s">
        <v>29</v>
      </c>
      <c r="I89" s="9" t="s">
        <v>226</v>
      </c>
    </row>
    <row r="90" spans="1:9" ht="76.5" customHeight="1">
      <c r="A90" s="238">
        <v>88</v>
      </c>
      <c r="B90" s="29" t="s">
        <v>149</v>
      </c>
      <c r="C90" s="26" t="s">
        <v>13</v>
      </c>
      <c r="D90" s="26">
        <v>60</v>
      </c>
      <c r="E90" s="29" t="s">
        <v>165</v>
      </c>
      <c r="F90" s="7">
        <v>110880</v>
      </c>
      <c r="G90" s="7" t="s">
        <v>43</v>
      </c>
      <c r="H90" s="26" t="s">
        <v>12</v>
      </c>
      <c r="I90" s="9" t="s">
        <v>226</v>
      </c>
    </row>
    <row r="91" spans="1:9" ht="66">
      <c r="A91" s="238">
        <v>89</v>
      </c>
      <c r="B91" s="29" t="s">
        <v>149</v>
      </c>
      <c r="C91" s="26" t="s">
        <v>13</v>
      </c>
      <c r="D91" s="26">
        <v>73.2</v>
      </c>
      <c r="E91" s="29" t="s">
        <v>166</v>
      </c>
      <c r="F91" s="7">
        <v>3588484</v>
      </c>
      <c r="G91" s="7" t="s">
        <v>43</v>
      </c>
      <c r="H91" s="26" t="s">
        <v>12</v>
      </c>
      <c r="I91" s="9" t="s">
        <v>226</v>
      </c>
    </row>
    <row r="92" spans="1:9" ht="82.5">
      <c r="A92" s="238">
        <v>90</v>
      </c>
      <c r="B92" s="29" t="s">
        <v>149</v>
      </c>
      <c r="C92" s="26" t="s">
        <v>13</v>
      </c>
      <c r="D92" s="26">
        <v>80.5</v>
      </c>
      <c r="E92" s="29" t="s">
        <v>95</v>
      </c>
      <c r="F92" s="7"/>
      <c r="G92" s="7" t="s">
        <v>43</v>
      </c>
      <c r="H92" s="26" t="s">
        <v>47</v>
      </c>
      <c r="I92" s="9" t="s">
        <v>226</v>
      </c>
    </row>
    <row r="93" spans="1:9" ht="49.5">
      <c r="A93" s="238">
        <v>91</v>
      </c>
      <c r="B93" s="29" t="s">
        <v>167</v>
      </c>
      <c r="C93" s="26" t="s">
        <v>16</v>
      </c>
      <c r="D93" s="223">
        <v>17.100000000000001</v>
      </c>
      <c r="E93" s="29" t="s">
        <v>168</v>
      </c>
      <c r="F93" s="7" t="s">
        <v>169</v>
      </c>
      <c r="G93" s="7" t="s">
        <v>11</v>
      </c>
      <c r="H93" s="26" t="s">
        <v>29</v>
      </c>
      <c r="I93" s="9" t="s">
        <v>226</v>
      </c>
    </row>
    <row r="94" spans="1:9" ht="49.5">
      <c r="A94" s="238">
        <v>92</v>
      </c>
      <c r="B94" s="29" t="s">
        <v>167</v>
      </c>
      <c r="C94" s="26" t="s">
        <v>16</v>
      </c>
      <c r="D94" s="223">
        <v>18.2</v>
      </c>
      <c r="E94" s="29" t="s">
        <v>170</v>
      </c>
      <c r="F94" s="7" t="s">
        <v>171</v>
      </c>
      <c r="G94" s="7" t="s">
        <v>11</v>
      </c>
      <c r="H94" s="26" t="s">
        <v>29</v>
      </c>
      <c r="I94" s="9" t="s">
        <v>226</v>
      </c>
    </row>
    <row r="95" spans="1:9" ht="66">
      <c r="A95" s="238">
        <v>93</v>
      </c>
      <c r="B95" s="29" t="s">
        <v>172</v>
      </c>
      <c r="C95" s="26" t="s">
        <v>16</v>
      </c>
      <c r="D95" s="32">
        <v>73</v>
      </c>
      <c r="E95" s="29" t="s">
        <v>173</v>
      </c>
      <c r="F95" s="7" t="s">
        <v>174</v>
      </c>
      <c r="G95" s="7" t="s">
        <v>43</v>
      </c>
      <c r="H95" s="26" t="s">
        <v>87</v>
      </c>
      <c r="I95" s="9" t="s">
        <v>226</v>
      </c>
    </row>
    <row r="96" spans="1:9" ht="61.5" customHeight="1">
      <c r="A96" s="238">
        <v>94</v>
      </c>
      <c r="B96" s="29" t="s">
        <v>175</v>
      </c>
      <c r="C96" s="26" t="s">
        <v>153</v>
      </c>
      <c r="D96" s="26">
        <v>3</v>
      </c>
      <c r="E96" s="29" t="s">
        <v>176</v>
      </c>
      <c r="F96" s="7">
        <v>1250065</v>
      </c>
      <c r="G96" s="7" t="s">
        <v>11</v>
      </c>
      <c r="H96" s="26" t="s">
        <v>29</v>
      </c>
      <c r="I96" s="9" t="s">
        <v>226</v>
      </c>
    </row>
    <row r="97" spans="1:9" ht="33">
      <c r="A97" s="238">
        <v>95</v>
      </c>
      <c r="B97" s="29" t="s">
        <v>175</v>
      </c>
      <c r="C97" s="26" t="s">
        <v>69</v>
      </c>
      <c r="D97" s="26">
        <v>3</v>
      </c>
      <c r="E97" s="29" t="s">
        <v>177</v>
      </c>
      <c r="F97" s="7">
        <v>500000</v>
      </c>
      <c r="G97" s="7" t="s">
        <v>11</v>
      </c>
      <c r="H97" s="26" t="s">
        <v>77</v>
      </c>
      <c r="I97" s="9" t="s">
        <v>226</v>
      </c>
    </row>
    <row r="98" spans="1:9" ht="68.25" customHeight="1">
      <c r="A98" s="238">
        <v>96</v>
      </c>
      <c r="B98" s="29" t="s">
        <v>175</v>
      </c>
      <c r="C98" s="26" t="s">
        <v>178</v>
      </c>
      <c r="D98" s="26">
        <v>5</v>
      </c>
      <c r="E98" s="29" t="s">
        <v>179</v>
      </c>
      <c r="F98" s="7">
        <v>1433851</v>
      </c>
      <c r="G98" s="7" t="s">
        <v>11</v>
      </c>
      <c r="H98" s="26" t="s">
        <v>29</v>
      </c>
      <c r="I98" s="9" t="s">
        <v>226</v>
      </c>
    </row>
    <row r="99" spans="1:9" ht="99">
      <c r="A99" s="238">
        <v>97</v>
      </c>
      <c r="B99" s="29" t="s">
        <v>33</v>
      </c>
      <c r="C99" s="26" t="s">
        <v>180</v>
      </c>
      <c r="D99" s="26">
        <v>15</v>
      </c>
      <c r="E99" s="206" t="s">
        <v>181</v>
      </c>
      <c r="F99" s="7">
        <v>77084513</v>
      </c>
      <c r="G99" s="7" t="s">
        <v>11</v>
      </c>
      <c r="H99" s="78"/>
      <c r="I99" s="9" t="s">
        <v>226</v>
      </c>
    </row>
    <row r="100" spans="1:9" ht="115.5">
      <c r="A100" s="238">
        <v>98</v>
      </c>
      <c r="B100" s="29" t="s">
        <v>33</v>
      </c>
      <c r="C100" s="26" t="s">
        <v>180</v>
      </c>
      <c r="D100" s="26">
        <v>18</v>
      </c>
      <c r="E100" s="36" t="s">
        <v>182</v>
      </c>
      <c r="F100" s="7">
        <v>32831591</v>
      </c>
      <c r="G100" s="7" t="s">
        <v>11</v>
      </c>
      <c r="H100" s="78"/>
      <c r="I100" s="9" t="s">
        <v>226</v>
      </c>
    </row>
    <row r="101" spans="1:9" ht="82.5">
      <c r="A101" s="238">
        <v>99</v>
      </c>
      <c r="B101" s="29" t="s">
        <v>183</v>
      </c>
      <c r="C101" s="26" t="s">
        <v>180</v>
      </c>
      <c r="D101" s="223">
        <v>24.5</v>
      </c>
      <c r="E101" s="207" t="s">
        <v>184</v>
      </c>
      <c r="F101" s="7">
        <v>6108396</v>
      </c>
      <c r="G101" s="7" t="s">
        <v>11</v>
      </c>
      <c r="H101" s="78"/>
      <c r="I101" s="9" t="s">
        <v>226</v>
      </c>
    </row>
    <row r="102" spans="1:9" ht="82.5">
      <c r="A102" s="238">
        <v>100</v>
      </c>
      <c r="B102" s="29" t="s">
        <v>185</v>
      </c>
      <c r="C102" s="26" t="s">
        <v>180</v>
      </c>
      <c r="D102" s="223">
        <v>24.6</v>
      </c>
      <c r="E102" s="207" t="s">
        <v>184</v>
      </c>
      <c r="F102" s="7">
        <v>9575981</v>
      </c>
      <c r="G102" s="7" t="s">
        <v>11</v>
      </c>
      <c r="H102" s="78"/>
      <c r="I102" s="9" t="s">
        <v>226</v>
      </c>
    </row>
    <row r="103" spans="1:9" ht="82.5">
      <c r="A103" s="238">
        <v>101</v>
      </c>
      <c r="B103" s="29" t="s">
        <v>33</v>
      </c>
      <c r="C103" s="26" t="s">
        <v>180</v>
      </c>
      <c r="D103" s="26">
        <v>37</v>
      </c>
      <c r="E103" s="29" t="s">
        <v>186</v>
      </c>
      <c r="F103" s="7">
        <v>11629282</v>
      </c>
      <c r="G103" s="7" t="s">
        <v>11</v>
      </c>
      <c r="H103" s="78"/>
      <c r="I103" s="9" t="s">
        <v>226</v>
      </c>
    </row>
    <row r="104" spans="1:9" ht="99">
      <c r="A104" s="238">
        <v>102</v>
      </c>
      <c r="B104" s="29" t="s">
        <v>33</v>
      </c>
      <c r="C104" s="26" t="s">
        <v>180</v>
      </c>
      <c r="D104" s="26">
        <v>43</v>
      </c>
      <c r="E104" s="29" t="s">
        <v>187</v>
      </c>
      <c r="F104" s="7">
        <v>3237566</v>
      </c>
      <c r="G104" s="7" t="s">
        <v>11</v>
      </c>
      <c r="H104" s="78"/>
      <c r="I104" s="9" t="s">
        <v>226</v>
      </c>
    </row>
    <row r="105" spans="1:9" ht="82.5">
      <c r="A105" s="238">
        <v>103</v>
      </c>
      <c r="B105" s="29" t="s">
        <v>188</v>
      </c>
      <c r="C105" s="26" t="s">
        <v>180</v>
      </c>
      <c r="D105" s="223">
        <v>45.2</v>
      </c>
      <c r="E105" s="29" t="s">
        <v>189</v>
      </c>
      <c r="F105" s="7">
        <v>1821560</v>
      </c>
      <c r="G105" s="7" t="s">
        <v>11</v>
      </c>
      <c r="H105" s="78"/>
      <c r="I105" s="9" t="s">
        <v>226</v>
      </c>
    </row>
    <row r="106" spans="1:9" ht="51.75" customHeight="1">
      <c r="A106" s="238">
        <v>104</v>
      </c>
      <c r="B106" s="29" t="s">
        <v>185</v>
      </c>
      <c r="C106" s="26" t="s">
        <v>180</v>
      </c>
      <c r="D106" s="223">
        <v>46.4</v>
      </c>
      <c r="E106" s="29" t="s">
        <v>190</v>
      </c>
      <c r="F106" s="174">
        <v>12345386</v>
      </c>
      <c r="G106" s="7" t="s">
        <v>11</v>
      </c>
      <c r="H106" s="78"/>
      <c r="I106" s="9" t="s">
        <v>226</v>
      </c>
    </row>
    <row r="107" spans="1:9" ht="66">
      <c r="A107" s="238">
        <v>105</v>
      </c>
      <c r="B107" s="29" t="s">
        <v>183</v>
      </c>
      <c r="C107" s="26" t="s">
        <v>180</v>
      </c>
      <c r="D107" s="223">
        <v>46.3</v>
      </c>
      <c r="E107" s="29" t="s">
        <v>190</v>
      </c>
      <c r="F107" s="174">
        <v>29649598</v>
      </c>
      <c r="G107" s="7" t="s">
        <v>11</v>
      </c>
      <c r="H107" s="78"/>
      <c r="I107" s="9" t="s">
        <v>226</v>
      </c>
    </row>
    <row r="108" spans="1:9" ht="54" customHeight="1">
      <c r="A108" s="238">
        <v>106</v>
      </c>
      <c r="B108" s="29" t="s">
        <v>191</v>
      </c>
      <c r="C108" s="26" t="s">
        <v>180</v>
      </c>
      <c r="D108" s="223">
        <v>46.5</v>
      </c>
      <c r="E108" s="29" t="s">
        <v>190</v>
      </c>
      <c r="F108" s="174">
        <v>6189008</v>
      </c>
      <c r="G108" s="7" t="s">
        <v>11</v>
      </c>
      <c r="H108" s="78"/>
      <c r="I108" s="9" t="s">
        <v>226</v>
      </c>
    </row>
    <row r="109" spans="1:9" ht="82.5">
      <c r="A109" s="238">
        <v>107</v>
      </c>
      <c r="B109" s="29" t="s">
        <v>183</v>
      </c>
      <c r="C109" s="26" t="s">
        <v>180</v>
      </c>
      <c r="D109" s="223">
        <v>55.5</v>
      </c>
      <c r="E109" s="29" t="s">
        <v>192</v>
      </c>
      <c r="F109" s="7">
        <v>17806875</v>
      </c>
      <c r="G109" s="7" t="s">
        <v>11</v>
      </c>
      <c r="H109" s="78"/>
      <c r="I109" s="9" t="s">
        <v>226</v>
      </c>
    </row>
    <row r="110" spans="1:9" ht="82.5">
      <c r="A110" s="238">
        <v>108</v>
      </c>
      <c r="B110" s="29" t="s">
        <v>185</v>
      </c>
      <c r="C110" s="26" t="s">
        <v>180</v>
      </c>
      <c r="D110" s="223">
        <v>55.6</v>
      </c>
      <c r="E110" s="29" t="s">
        <v>192</v>
      </c>
      <c r="F110" s="7">
        <v>9909000</v>
      </c>
      <c r="G110" s="7" t="s">
        <v>11</v>
      </c>
      <c r="H110" s="78"/>
      <c r="I110" s="9" t="s">
        <v>226</v>
      </c>
    </row>
    <row r="111" spans="1:9" ht="82.5">
      <c r="A111" s="238">
        <v>109</v>
      </c>
      <c r="B111" s="29" t="s">
        <v>191</v>
      </c>
      <c r="C111" s="26" t="s">
        <v>180</v>
      </c>
      <c r="D111" s="223">
        <v>55.7</v>
      </c>
      <c r="E111" s="29" t="s">
        <v>192</v>
      </c>
      <c r="F111" s="7">
        <v>6669750</v>
      </c>
      <c r="G111" s="7" t="s">
        <v>11</v>
      </c>
      <c r="H111" s="78"/>
      <c r="I111" s="9" t="s">
        <v>226</v>
      </c>
    </row>
    <row r="112" spans="1:9" ht="49.5">
      <c r="A112" s="238">
        <v>110</v>
      </c>
      <c r="B112" s="29" t="s">
        <v>193</v>
      </c>
      <c r="C112" s="26" t="s">
        <v>180</v>
      </c>
      <c r="D112" s="26">
        <v>56</v>
      </c>
      <c r="E112" s="29" t="s">
        <v>194</v>
      </c>
      <c r="F112" s="7">
        <v>443665488</v>
      </c>
      <c r="G112" s="7" t="s">
        <v>11</v>
      </c>
      <c r="H112" s="78"/>
      <c r="I112" s="9" t="s">
        <v>226</v>
      </c>
    </row>
    <row r="113" spans="1:9" ht="66">
      <c r="A113" s="238">
        <v>111</v>
      </c>
      <c r="B113" s="29" t="s">
        <v>195</v>
      </c>
      <c r="C113" s="26" t="s">
        <v>180</v>
      </c>
      <c r="D113" s="223">
        <v>57.1</v>
      </c>
      <c r="E113" s="29" t="s">
        <v>196</v>
      </c>
      <c r="F113" s="7">
        <v>415444</v>
      </c>
      <c r="G113" s="7" t="s">
        <v>11</v>
      </c>
      <c r="H113" s="78"/>
      <c r="I113" s="9" t="s">
        <v>226</v>
      </c>
    </row>
    <row r="114" spans="1:9" ht="66">
      <c r="A114" s="238">
        <v>112</v>
      </c>
      <c r="B114" s="29" t="s">
        <v>197</v>
      </c>
      <c r="C114" s="26" t="s">
        <v>180</v>
      </c>
      <c r="D114" s="223">
        <v>57.2</v>
      </c>
      <c r="E114" s="29" t="s">
        <v>196</v>
      </c>
      <c r="F114" s="7">
        <v>3877100</v>
      </c>
      <c r="G114" s="7" t="s">
        <v>11</v>
      </c>
      <c r="H114" s="78"/>
      <c r="I114" s="9" t="s">
        <v>226</v>
      </c>
    </row>
    <row r="115" spans="1:9" ht="82.5">
      <c r="A115" s="238">
        <v>113</v>
      </c>
      <c r="B115" s="29" t="s">
        <v>183</v>
      </c>
      <c r="C115" s="26" t="s">
        <v>180</v>
      </c>
      <c r="D115" s="223">
        <v>60.5</v>
      </c>
      <c r="E115" s="29" t="s">
        <v>198</v>
      </c>
      <c r="F115" s="7">
        <v>955042</v>
      </c>
      <c r="G115" s="7" t="s">
        <v>11</v>
      </c>
      <c r="H115" s="78"/>
      <c r="I115" s="9" t="s">
        <v>226</v>
      </c>
    </row>
    <row r="116" spans="1:9" ht="82.5">
      <c r="A116" s="238">
        <v>114</v>
      </c>
      <c r="B116" s="29" t="s">
        <v>185</v>
      </c>
      <c r="C116" s="26" t="s">
        <v>180</v>
      </c>
      <c r="D116" s="223">
        <v>60.3</v>
      </c>
      <c r="E116" s="29" t="s">
        <v>198</v>
      </c>
      <c r="F116" s="7">
        <v>705320</v>
      </c>
      <c r="G116" s="7" t="s">
        <v>11</v>
      </c>
      <c r="H116" s="78"/>
      <c r="I116" s="9" t="s">
        <v>226</v>
      </c>
    </row>
    <row r="117" spans="1:9" ht="82.5">
      <c r="A117" s="238">
        <v>115</v>
      </c>
      <c r="B117" s="29" t="s">
        <v>191</v>
      </c>
      <c r="C117" s="26" t="s">
        <v>180</v>
      </c>
      <c r="D117" s="223">
        <v>60.1</v>
      </c>
      <c r="E117" s="29" t="s">
        <v>198</v>
      </c>
      <c r="F117" s="7">
        <v>159800</v>
      </c>
      <c r="G117" s="7" t="s">
        <v>11</v>
      </c>
      <c r="H117" s="78"/>
      <c r="I117" s="9" t="s">
        <v>226</v>
      </c>
    </row>
    <row r="118" spans="1:9" ht="99">
      <c r="A118" s="238">
        <v>116</v>
      </c>
      <c r="B118" s="29" t="s">
        <v>188</v>
      </c>
      <c r="C118" s="26" t="s">
        <v>180</v>
      </c>
      <c r="D118" s="26">
        <v>61</v>
      </c>
      <c r="E118" s="29" t="s">
        <v>199</v>
      </c>
      <c r="F118" s="7">
        <v>111752777</v>
      </c>
      <c r="G118" s="7" t="s">
        <v>11</v>
      </c>
      <c r="H118" s="78"/>
      <c r="I118" s="9" t="s">
        <v>226</v>
      </c>
    </row>
    <row r="119" spans="1:9" ht="115.5">
      <c r="A119" s="238">
        <v>117</v>
      </c>
      <c r="B119" s="29" t="s">
        <v>188</v>
      </c>
      <c r="C119" s="26" t="s">
        <v>180</v>
      </c>
      <c r="D119" s="26">
        <v>64</v>
      </c>
      <c r="E119" s="29" t="s">
        <v>200</v>
      </c>
      <c r="F119" s="7">
        <v>3419254</v>
      </c>
      <c r="G119" s="7" t="s">
        <v>11</v>
      </c>
      <c r="H119" s="78"/>
      <c r="I119" s="9" t="s">
        <v>226</v>
      </c>
    </row>
    <row r="120" spans="1:9" ht="49.5">
      <c r="A120" s="238">
        <v>118</v>
      </c>
      <c r="B120" s="29" t="s">
        <v>188</v>
      </c>
      <c r="C120" s="26" t="s">
        <v>180</v>
      </c>
      <c r="D120" s="26">
        <v>69</v>
      </c>
      <c r="E120" s="29" t="s">
        <v>201</v>
      </c>
      <c r="F120" s="7">
        <v>1464000</v>
      </c>
      <c r="G120" s="7" t="s">
        <v>11</v>
      </c>
      <c r="H120" s="78"/>
      <c r="I120" s="9" t="s">
        <v>226</v>
      </c>
    </row>
    <row r="121" spans="1:9" ht="49.5">
      <c r="A121" s="238">
        <v>119</v>
      </c>
      <c r="B121" s="29" t="s">
        <v>197</v>
      </c>
      <c r="C121" s="26" t="s">
        <v>180</v>
      </c>
      <c r="D121" s="26">
        <v>72</v>
      </c>
      <c r="E121" s="29" t="s">
        <v>202</v>
      </c>
      <c r="F121" s="7">
        <v>5933397</v>
      </c>
      <c r="G121" s="7" t="s">
        <v>11</v>
      </c>
      <c r="H121" s="78"/>
      <c r="I121" s="9" t="s">
        <v>226</v>
      </c>
    </row>
    <row r="122" spans="1:9" ht="66">
      <c r="A122" s="238">
        <v>120</v>
      </c>
      <c r="B122" s="29" t="s">
        <v>193</v>
      </c>
      <c r="C122" s="26" t="s">
        <v>180</v>
      </c>
      <c r="D122" s="26">
        <v>73</v>
      </c>
      <c r="E122" s="29" t="s">
        <v>203</v>
      </c>
      <c r="F122" s="7">
        <v>52749000</v>
      </c>
      <c r="G122" s="7" t="s">
        <v>11</v>
      </c>
      <c r="H122" s="78"/>
      <c r="I122" s="9" t="s">
        <v>226</v>
      </c>
    </row>
    <row r="123" spans="1:9" ht="66">
      <c r="A123" s="238">
        <v>121</v>
      </c>
      <c r="B123" s="29" t="s">
        <v>193</v>
      </c>
      <c r="C123" s="26" t="s">
        <v>180</v>
      </c>
      <c r="D123" s="26">
        <v>75</v>
      </c>
      <c r="E123" s="29" t="s">
        <v>204</v>
      </c>
      <c r="F123" s="7">
        <v>1843680</v>
      </c>
      <c r="G123" s="7" t="s">
        <v>11</v>
      </c>
      <c r="H123" s="78"/>
      <c r="I123" s="9" t="s">
        <v>226</v>
      </c>
    </row>
    <row r="124" spans="1:9" ht="66">
      <c r="A124" s="238">
        <v>122</v>
      </c>
      <c r="B124" s="29" t="s">
        <v>193</v>
      </c>
      <c r="C124" s="26" t="s">
        <v>180</v>
      </c>
      <c r="D124" s="26">
        <v>76</v>
      </c>
      <c r="E124" s="29" t="s">
        <v>205</v>
      </c>
      <c r="F124" s="7">
        <v>1573504</v>
      </c>
      <c r="G124" s="7" t="s">
        <v>11</v>
      </c>
      <c r="H124" s="78"/>
      <c r="I124" s="9" t="s">
        <v>226</v>
      </c>
    </row>
    <row r="125" spans="1:9" ht="82.5">
      <c r="A125" s="238">
        <v>123</v>
      </c>
      <c r="B125" s="29" t="s">
        <v>193</v>
      </c>
      <c r="C125" s="26" t="s">
        <v>180</v>
      </c>
      <c r="D125" s="26">
        <v>78</v>
      </c>
      <c r="E125" s="29" t="s">
        <v>206</v>
      </c>
      <c r="F125" s="7">
        <v>17259834</v>
      </c>
      <c r="G125" s="7" t="s">
        <v>11</v>
      </c>
      <c r="H125" s="78"/>
      <c r="I125" s="9" t="s">
        <v>226</v>
      </c>
    </row>
    <row r="126" spans="1:9" ht="49.5">
      <c r="A126" s="238">
        <v>124</v>
      </c>
      <c r="B126" s="29" t="s">
        <v>183</v>
      </c>
      <c r="C126" s="26" t="s">
        <v>180</v>
      </c>
      <c r="D126" s="221">
        <v>80.599999999999994</v>
      </c>
      <c r="E126" s="29" t="s">
        <v>207</v>
      </c>
      <c r="F126" s="7">
        <v>177105298</v>
      </c>
      <c r="G126" s="7" t="s">
        <v>11</v>
      </c>
      <c r="H126" s="78"/>
      <c r="I126" s="9" t="s">
        <v>226</v>
      </c>
    </row>
    <row r="127" spans="1:9" ht="49.5">
      <c r="A127" s="238">
        <v>125</v>
      </c>
      <c r="B127" s="29" t="s">
        <v>191</v>
      </c>
      <c r="C127" s="26" t="s">
        <v>180</v>
      </c>
      <c r="D127" s="222">
        <v>80.5</v>
      </c>
      <c r="E127" s="29" t="s">
        <v>207</v>
      </c>
      <c r="F127" s="7">
        <v>107355076</v>
      </c>
      <c r="G127" s="7" t="s">
        <v>11</v>
      </c>
      <c r="H127" s="78"/>
      <c r="I127" s="9" t="s">
        <v>226</v>
      </c>
    </row>
    <row r="128" spans="1:9" ht="49.5">
      <c r="A128" s="238">
        <v>126</v>
      </c>
      <c r="B128" s="29" t="s">
        <v>193</v>
      </c>
      <c r="C128" s="26" t="s">
        <v>180</v>
      </c>
      <c r="D128" s="26">
        <v>85</v>
      </c>
      <c r="E128" s="29" t="s">
        <v>208</v>
      </c>
      <c r="F128" s="7">
        <v>11199785026</v>
      </c>
      <c r="G128" s="7" t="s">
        <v>11</v>
      </c>
      <c r="H128" s="78"/>
      <c r="I128" s="9" t="s">
        <v>226</v>
      </c>
    </row>
    <row r="129" spans="1:9" ht="82.5">
      <c r="A129" s="238">
        <v>127</v>
      </c>
      <c r="B129" s="29" t="s">
        <v>188</v>
      </c>
      <c r="C129" s="26" t="s">
        <v>180</v>
      </c>
      <c r="D129" s="223">
        <v>88.6</v>
      </c>
      <c r="E129" s="29" t="s">
        <v>209</v>
      </c>
      <c r="F129" s="7">
        <v>3090469</v>
      </c>
      <c r="G129" s="7" t="s">
        <v>11</v>
      </c>
      <c r="H129" s="78"/>
      <c r="I129" s="9" t="s">
        <v>226</v>
      </c>
    </row>
    <row r="130" spans="1:9" ht="82.5">
      <c r="A130" s="238">
        <v>128</v>
      </c>
      <c r="B130" s="29" t="s">
        <v>210</v>
      </c>
      <c r="C130" s="26" t="s">
        <v>180</v>
      </c>
      <c r="D130" s="223">
        <v>88.3</v>
      </c>
      <c r="E130" s="29" t="s">
        <v>209</v>
      </c>
      <c r="F130" s="7">
        <v>990516.15</v>
      </c>
      <c r="G130" s="7" t="s">
        <v>11</v>
      </c>
      <c r="H130" s="78"/>
      <c r="I130" s="9" t="s">
        <v>226</v>
      </c>
    </row>
    <row r="131" spans="1:9" ht="82.5">
      <c r="A131" s="238">
        <v>129</v>
      </c>
      <c r="B131" s="29" t="s">
        <v>195</v>
      </c>
      <c r="C131" s="26" t="s">
        <v>180</v>
      </c>
      <c r="D131" s="223">
        <v>88.4</v>
      </c>
      <c r="E131" s="29" t="s">
        <v>209</v>
      </c>
      <c r="F131" s="7">
        <v>2022829</v>
      </c>
      <c r="G131" s="7" t="s">
        <v>11</v>
      </c>
      <c r="H131" s="78"/>
      <c r="I131" s="9" t="s">
        <v>226</v>
      </c>
    </row>
    <row r="132" spans="1:9" ht="82.5">
      <c r="A132" s="238">
        <v>130</v>
      </c>
      <c r="B132" s="29" t="s">
        <v>197</v>
      </c>
      <c r="C132" s="26" t="s">
        <v>180</v>
      </c>
      <c r="D132" s="26">
        <v>88</v>
      </c>
      <c r="E132" s="29" t="s">
        <v>209</v>
      </c>
      <c r="F132" s="7">
        <v>2018453</v>
      </c>
      <c r="G132" s="7" t="s">
        <v>11</v>
      </c>
      <c r="H132" s="78"/>
      <c r="I132" s="9" t="s">
        <v>226</v>
      </c>
    </row>
    <row r="133" spans="1:9" ht="49.5">
      <c r="A133" s="238">
        <v>131</v>
      </c>
      <c r="B133" s="29" t="s">
        <v>197</v>
      </c>
      <c r="C133" s="26" t="s">
        <v>180</v>
      </c>
      <c r="D133" s="223">
        <v>91.3</v>
      </c>
      <c r="E133" s="29" t="s">
        <v>211</v>
      </c>
      <c r="F133" s="7">
        <v>61664943</v>
      </c>
      <c r="G133" s="7" t="s">
        <v>11</v>
      </c>
      <c r="H133" s="78"/>
      <c r="I133" s="9" t="s">
        <v>226</v>
      </c>
    </row>
    <row r="134" spans="1:9" ht="49.5">
      <c r="A134" s="238">
        <v>132</v>
      </c>
      <c r="B134" s="29" t="s">
        <v>195</v>
      </c>
      <c r="C134" s="26" t="s">
        <v>180</v>
      </c>
      <c r="D134" s="223">
        <v>91.2</v>
      </c>
      <c r="E134" s="29" t="s">
        <v>211</v>
      </c>
      <c r="F134" s="7">
        <v>47051259</v>
      </c>
      <c r="G134" s="7" t="s">
        <v>11</v>
      </c>
      <c r="H134" s="78"/>
      <c r="I134" s="9" t="s">
        <v>226</v>
      </c>
    </row>
    <row r="135" spans="1:9" ht="82.5">
      <c r="A135" s="238">
        <v>133</v>
      </c>
      <c r="B135" s="29" t="s">
        <v>197</v>
      </c>
      <c r="C135" s="26" t="s">
        <v>180</v>
      </c>
      <c r="D135" s="222">
        <v>95.2</v>
      </c>
      <c r="E135" s="29" t="s">
        <v>212</v>
      </c>
      <c r="F135" s="7">
        <v>26094000</v>
      </c>
      <c r="G135" s="7" t="s">
        <v>11</v>
      </c>
      <c r="H135" s="78"/>
      <c r="I135" s="9" t="s">
        <v>226</v>
      </c>
    </row>
    <row r="136" spans="1:9" ht="70.5" customHeight="1">
      <c r="A136" s="238">
        <v>134</v>
      </c>
      <c r="B136" s="29" t="s">
        <v>195</v>
      </c>
      <c r="C136" s="26" t="s">
        <v>180</v>
      </c>
      <c r="D136" s="222">
        <v>95.1</v>
      </c>
      <c r="E136" s="29" t="s">
        <v>212</v>
      </c>
      <c r="F136" s="7">
        <v>26266508</v>
      </c>
      <c r="G136" s="7" t="s">
        <v>11</v>
      </c>
      <c r="H136" s="78"/>
      <c r="I136" s="9" t="s">
        <v>226</v>
      </c>
    </row>
    <row r="137" spans="1:9" ht="66">
      <c r="A137" s="238">
        <v>135</v>
      </c>
      <c r="B137" s="29" t="s">
        <v>183</v>
      </c>
      <c r="C137" s="26" t="s">
        <v>180</v>
      </c>
      <c r="D137" s="222">
        <v>97.2</v>
      </c>
      <c r="E137" s="29" t="s">
        <v>213</v>
      </c>
      <c r="F137" s="7">
        <v>8529193</v>
      </c>
      <c r="G137" s="7" t="s">
        <v>11</v>
      </c>
      <c r="H137" s="78"/>
      <c r="I137" s="9" t="s">
        <v>226</v>
      </c>
    </row>
    <row r="138" spans="1:9" ht="66">
      <c r="A138" s="238">
        <v>136</v>
      </c>
      <c r="B138" s="29" t="s">
        <v>185</v>
      </c>
      <c r="C138" s="26" t="s">
        <v>180</v>
      </c>
      <c r="D138" s="222">
        <v>97.3</v>
      </c>
      <c r="E138" s="29" t="s">
        <v>213</v>
      </c>
      <c r="F138" s="7">
        <v>2391265</v>
      </c>
      <c r="G138" s="7" t="s">
        <v>11</v>
      </c>
      <c r="H138" s="78"/>
      <c r="I138" s="9" t="s">
        <v>226</v>
      </c>
    </row>
    <row r="139" spans="1:9" ht="66">
      <c r="A139" s="238">
        <v>137</v>
      </c>
      <c r="B139" s="29" t="s">
        <v>210</v>
      </c>
      <c r="C139" s="26" t="s">
        <v>180</v>
      </c>
      <c r="D139" s="26">
        <v>98</v>
      </c>
      <c r="E139" s="29" t="s">
        <v>214</v>
      </c>
      <c r="F139" s="7">
        <v>5473347.5250000004</v>
      </c>
      <c r="G139" s="7" t="s">
        <v>11</v>
      </c>
      <c r="H139" s="78"/>
      <c r="I139" s="9" t="s">
        <v>226</v>
      </c>
    </row>
    <row r="140" spans="1:9" ht="66">
      <c r="A140" s="238">
        <v>138</v>
      </c>
      <c r="B140" s="29" t="s">
        <v>210</v>
      </c>
      <c r="C140" s="26" t="s">
        <v>180</v>
      </c>
      <c r="D140" s="26">
        <v>99</v>
      </c>
      <c r="E140" s="29" t="s">
        <v>215</v>
      </c>
      <c r="F140" s="7">
        <v>3156303</v>
      </c>
      <c r="G140" s="7" t="s">
        <v>11</v>
      </c>
      <c r="H140" s="78"/>
      <c r="I140" s="9" t="s">
        <v>226</v>
      </c>
    </row>
    <row r="141" spans="1:9" ht="66">
      <c r="A141" s="238">
        <v>139</v>
      </c>
      <c r="B141" s="29" t="s">
        <v>185</v>
      </c>
      <c r="C141" s="26" t="s">
        <v>180</v>
      </c>
      <c r="D141" s="26">
        <v>102</v>
      </c>
      <c r="E141" s="29" t="s">
        <v>216</v>
      </c>
      <c r="F141" s="7">
        <v>3104087</v>
      </c>
      <c r="G141" s="7" t="s">
        <v>11</v>
      </c>
      <c r="H141" s="78"/>
      <c r="I141" s="9" t="s">
        <v>226</v>
      </c>
    </row>
    <row r="142" spans="1:9" ht="66">
      <c r="A142" s="238">
        <v>140</v>
      </c>
      <c r="B142" s="29" t="s">
        <v>33</v>
      </c>
      <c r="C142" s="26" t="s">
        <v>180</v>
      </c>
      <c r="D142" s="26">
        <v>107</v>
      </c>
      <c r="E142" s="29" t="s">
        <v>217</v>
      </c>
      <c r="F142" s="7">
        <v>950680</v>
      </c>
      <c r="G142" s="7" t="s">
        <v>11</v>
      </c>
      <c r="H142" s="78"/>
      <c r="I142" s="9" t="s">
        <v>226</v>
      </c>
    </row>
    <row r="143" spans="1:9" ht="49.5">
      <c r="A143" s="238">
        <v>141</v>
      </c>
      <c r="B143" s="29" t="s">
        <v>191</v>
      </c>
      <c r="C143" s="26" t="s">
        <v>180</v>
      </c>
      <c r="D143" s="26">
        <v>109</v>
      </c>
      <c r="E143" s="29" t="s">
        <v>218</v>
      </c>
      <c r="F143" s="7">
        <v>1490620</v>
      </c>
      <c r="G143" s="7" t="s">
        <v>11</v>
      </c>
      <c r="H143" s="78"/>
      <c r="I143" s="9" t="s">
        <v>226</v>
      </c>
    </row>
    <row r="144" spans="1:9" ht="82.5">
      <c r="A144" s="238">
        <v>142</v>
      </c>
      <c r="B144" s="29" t="s">
        <v>191</v>
      </c>
      <c r="C144" s="26" t="s">
        <v>180</v>
      </c>
      <c r="D144" s="26">
        <v>118</v>
      </c>
      <c r="E144" s="29" t="s">
        <v>219</v>
      </c>
      <c r="F144" s="7">
        <v>0</v>
      </c>
      <c r="G144" s="7" t="s">
        <v>11</v>
      </c>
      <c r="H144" s="78"/>
      <c r="I144" s="9" t="s">
        <v>226</v>
      </c>
    </row>
    <row r="145" spans="1:9" ht="66">
      <c r="A145" s="238">
        <v>143</v>
      </c>
      <c r="B145" s="29" t="s">
        <v>197</v>
      </c>
      <c r="C145" s="26" t="s">
        <v>180</v>
      </c>
      <c r="D145" s="26">
        <v>119</v>
      </c>
      <c r="E145" s="29" t="s">
        <v>220</v>
      </c>
      <c r="F145" s="7">
        <v>140621139</v>
      </c>
      <c r="G145" s="7" t="s">
        <v>11</v>
      </c>
      <c r="H145" s="78"/>
      <c r="I145" s="9" t="s">
        <v>226</v>
      </c>
    </row>
    <row r="146" spans="1:9" ht="49.5">
      <c r="A146" s="238">
        <v>144</v>
      </c>
      <c r="B146" s="29" t="s">
        <v>195</v>
      </c>
      <c r="C146" s="26" t="s">
        <v>180</v>
      </c>
      <c r="D146" s="26">
        <v>121</v>
      </c>
      <c r="E146" s="29" t="s">
        <v>221</v>
      </c>
      <c r="F146" s="7" t="s">
        <v>121</v>
      </c>
      <c r="G146" s="7" t="s">
        <v>11</v>
      </c>
      <c r="H146" s="78"/>
      <c r="I146" s="9" t="s">
        <v>226</v>
      </c>
    </row>
    <row r="147" spans="1:9" ht="99">
      <c r="A147" s="238">
        <v>145</v>
      </c>
      <c r="B147" s="29" t="s">
        <v>210</v>
      </c>
      <c r="C147" s="26" t="s">
        <v>180</v>
      </c>
      <c r="D147" s="26">
        <v>124</v>
      </c>
      <c r="E147" s="29" t="s">
        <v>222</v>
      </c>
      <c r="F147" s="7">
        <v>2943851</v>
      </c>
      <c r="G147" s="7" t="s">
        <v>43</v>
      </c>
      <c r="H147" s="78"/>
      <c r="I147" s="9" t="s">
        <v>226</v>
      </c>
    </row>
    <row r="148" spans="1:9" ht="66">
      <c r="A148" s="238">
        <v>146</v>
      </c>
      <c r="B148" s="29" t="s">
        <v>188</v>
      </c>
      <c r="C148" s="26" t="s">
        <v>180</v>
      </c>
      <c r="D148" s="26">
        <v>128</v>
      </c>
      <c r="E148" s="29" t="s">
        <v>223</v>
      </c>
      <c r="F148" s="7">
        <v>131002300</v>
      </c>
      <c r="G148" s="7" t="s">
        <v>43</v>
      </c>
      <c r="H148" s="78"/>
      <c r="I148" s="9" t="s">
        <v>226</v>
      </c>
    </row>
    <row r="149" spans="1:9" ht="66">
      <c r="A149" s="238">
        <v>147</v>
      </c>
      <c r="B149" s="29" t="s">
        <v>193</v>
      </c>
      <c r="C149" s="26" t="s">
        <v>180</v>
      </c>
      <c r="D149" s="26">
        <v>129</v>
      </c>
      <c r="E149" s="29" t="s">
        <v>224</v>
      </c>
      <c r="F149" s="7">
        <v>1289983858</v>
      </c>
      <c r="G149" s="7" t="s">
        <v>43</v>
      </c>
      <c r="H149" s="78"/>
      <c r="I149" s="9" t="s">
        <v>226</v>
      </c>
    </row>
    <row r="150" spans="1:9" ht="49.5">
      <c r="A150" s="238">
        <v>148</v>
      </c>
      <c r="B150" s="29" t="s">
        <v>251</v>
      </c>
      <c r="C150" s="27" t="s">
        <v>157</v>
      </c>
      <c r="D150" s="27">
        <v>1</v>
      </c>
      <c r="E150" s="28" t="s">
        <v>252</v>
      </c>
      <c r="F150" s="30">
        <v>1906571</v>
      </c>
      <c r="G150" s="7" t="s">
        <v>11</v>
      </c>
      <c r="H150" s="78"/>
      <c r="I150" s="9" t="s">
        <v>935</v>
      </c>
    </row>
    <row r="151" spans="1:9" ht="49.5">
      <c r="A151" s="238">
        <v>149</v>
      </c>
      <c r="B151" s="29" t="s">
        <v>253</v>
      </c>
      <c r="C151" s="27" t="s">
        <v>254</v>
      </c>
      <c r="D151" s="27">
        <v>3</v>
      </c>
      <c r="E151" s="29" t="s">
        <v>255</v>
      </c>
      <c r="F151" s="30">
        <v>367401</v>
      </c>
      <c r="G151" s="7" t="s">
        <v>11</v>
      </c>
      <c r="H151" s="78"/>
      <c r="I151" s="9" t="s">
        <v>935</v>
      </c>
    </row>
    <row r="152" spans="1:9" ht="49.5">
      <c r="A152" s="238">
        <v>150</v>
      </c>
      <c r="B152" s="29" t="s">
        <v>253</v>
      </c>
      <c r="C152" s="27" t="s">
        <v>256</v>
      </c>
      <c r="D152" s="27">
        <v>1</v>
      </c>
      <c r="E152" s="29" t="s">
        <v>257</v>
      </c>
      <c r="F152" s="30">
        <v>2155030</v>
      </c>
      <c r="G152" s="7" t="s">
        <v>11</v>
      </c>
      <c r="H152" s="78"/>
      <c r="I152" s="9" t="s">
        <v>935</v>
      </c>
    </row>
    <row r="153" spans="1:9" ht="49.5">
      <c r="A153" s="238">
        <v>151</v>
      </c>
      <c r="B153" s="29" t="s">
        <v>253</v>
      </c>
      <c r="C153" s="27" t="s">
        <v>256</v>
      </c>
      <c r="D153" s="27">
        <v>3</v>
      </c>
      <c r="E153" s="29" t="s">
        <v>258</v>
      </c>
      <c r="F153" s="30">
        <v>1055535</v>
      </c>
      <c r="G153" s="7" t="s">
        <v>11</v>
      </c>
      <c r="H153" s="78"/>
      <c r="I153" s="9" t="s">
        <v>935</v>
      </c>
    </row>
    <row r="154" spans="1:9" ht="49.5">
      <c r="A154" s="238">
        <v>152</v>
      </c>
      <c r="B154" s="29" t="s">
        <v>253</v>
      </c>
      <c r="C154" s="27" t="s">
        <v>256</v>
      </c>
      <c r="D154" s="31">
        <v>5</v>
      </c>
      <c r="E154" s="29" t="s">
        <v>259</v>
      </c>
      <c r="F154" s="30">
        <v>68812</v>
      </c>
      <c r="G154" s="7" t="s">
        <v>11</v>
      </c>
      <c r="H154" s="78"/>
      <c r="I154" s="9" t="s">
        <v>935</v>
      </c>
    </row>
    <row r="155" spans="1:9" ht="49.5">
      <c r="A155" s="238">
        <v>153</v>
      </c>
      <c r="B155" s="29" t="s">
        <v>253</v>
      </c>
      <c r="C155" s="27" t="s">
        <v>256</v>
      </c>
      <c r="D155" s="27">
        <v>6</v>
      </c>
      <c r="E155" s="29" t="s">
        <v>260</v>
      </c>
      <c r="F155" s="30">
        <v>1424197</v>
      </c>
      <c r="G155" s="7" t="s">
        <v>11</v>
      </c>
      <c r="H155" s="78"/>
      <c r="I155" s="9" t="s">
        <v>935</v>
      </c>
    </row>
    <row r="156" spans="1:9" ht="49.5">
      <c r="A156" s="238">
        <v>154</v>
      </c>
      <c r="B156" s="29" t="s">
        <v>253</v>
      </c>
      <c r="C156" s="27" t="s">
        <v>256</v>
      </c>
      <c r="D156" s="31">
        <v>10</v>
      </c>
      <c r="E156" s="29" t="s">
        <v>261</v>
      </c>
      <c r="F156" s="30">
        <v>73756</v>
      </c>
      <c r="G156" s="7" t="s">
        <v>11</v>
      </c>
      <c r="H156" s="78"/>
      <c r="I156" s="9" t="s">
        <v>935</v>
      </c>
    </row>
    <row r="157" spans="1:9" ht="49.5">
      <c r="A157" s="238">
        <v>155</v>
      </c>
      <c r="B157" s="29" t="s">
        <v>253</v>
      </c>
      <c r="C157" s="27" t="s">
        <v>262</v>
      </c>
      <c r="D157" s="31">
        <v>10</v>
      </c>
      <c r="E157" s="29" t="s">
        <v>263</v>
      </c>
      <c r="F157" s="30">
        <v>19877</v>
      </c>
      <c r="G157" s="7" t="s">
        <v>11</v>
      </c>
      <c r="H157" s="78"/>
      <c r="I157" s="9" t="s">
        <v>935</v>
      </c>
    </row>
    <row r="158" spans="1:9" ht="49.5">
      <c r="A158" s="238">
        <v>156</v>
      </c>
      <c r="B158" s="29" t="s">
        <v>253</v>
      </c>
      <c r="C158" s="37" t="s">
        <v>264</v>
      </c>
      <c r="D158" s="32">
        <v>7</v>
      </c>
      <c r="E158" s="28" t="s">
        <v>265</v>
      </c>
      <c r="F158" s="33" t="s">
        <v>266</v>
      </c>
      <c r="G158" s="7" t="s">
        <v>11</v>
      </c>
      <c r="H158" s="78"/>
      <c r="I158" s="9" t="s">
        <v>935</v>
      </c>
    </row>
    <row r="159" spans="1:9" ht="49.5">
      <c r="A159" s="238">
        <v>157</v>
      </c>
      <c r="B159" s="29" t="s">
        <v>253</v>
      </c>
      <c r="C159" s="27" t="s">
        <v>102</v>
      </c>
      <c r="D159" s="27">
        <v>7</v>
      </c>
      <c r="E159" s="29" t="s">
        <v>267</v>
      </c>
      <c r="F159" s="30">
        <v>12546851</v>
      </c>
      <c r="G159" s="7" t="s">
        <v>11</v>
      </c>
      <c r="H159" s="78"/>
      <c r="I159" s="9" t="s">
        <v>935</v>
      </c>
    </row>
    <row r="160" spans="1:9" ht="49.5">
      <c r="A160" s="238">
        <v>158</v>
      </c>
      <c r="B160" s="29" t="s">
        <v>253</v>
      </c>
      <c r="C160" s="27" t="s">
        <v>104</v>
      </c>
      <c r="D160" s="27">
        <v>3</v>
      </c>
      <c r="E160" s="29" t="s">
        <v>268</v>
      </c>
      <c r="F160" s="30">
        <v>5163395</v>
      </c>
      <c r="G160" s="7" t="s">
        <v>11</v>
      </c>
      <c r="H160" s="78"/>
      <c r="I160" s="9" t="s">
        <v>935</v>
      </c>
    </row>
    <row r="161" spans="1:9" ht="82.5">
      <c r="A161" s="238">
        <v>159</v>
      </c>
      <c r="B161" s="29" t="s">
        <v>253</v>
      </c>
      <c r="C161" s="27" t="s">
        <v>269</v>
      </c>
      <c r="D161" s="27">
        <v>2</v>
      </c>
      <c r="E161" s="29" t="s">
        <v>270</v>
      </c>
      <c r="F161" s="30">
        <v>7143730</v>
      </c>
      <c r="G161" s="7" t="s">
        <v>11</v>
      </c>
      <c r="H161" s="78"/>
      <c r="I161" s="9" t="s">
        <v>935</v>
      </c>
    </row>
    <row r="162" spans="1:9" ht="49.5">
      <c r="A162" s="238">
        <v>160</v>
      </c>
      <c r="B162" s="29" t="s">
        <v>253</v>
      </c>
      <c r="C162" s="27" t="s">
        <v>271</v>
      </c>
      <c r="D162" s="27">
        <v>5</v>
      </c>
      <c r="E162" s="29" t="s">
        <v>272</v>
      </c>
      <c r="F162" s="30">
        <v>512380</v>
      </c>
      <c r="G162" s="7" t="s">
        <v>11</v>
      </c>
      <c r="H162" s="78"/>
      <c r="I162" s="9" t="s">
        <v>935</v>
      </c>
    </row>
    <row r="163" spans="1:9" ht="49.5">
      <c r="A163" s="238">
        <v>161</v>
      </c>
      <c r="B163" s="29" t="s">
        <v>253</v>
      </c>
      <c r="C163" s="27" t="s">
        <v>89</v>
      </c>
      <c r="D163" s="31">
        <v>5</v>
      </c>
      <c r="E163" s="29" t="s">
        <v>273</v>
      </c>
      <c r="F163" s="30">
        <v>18679998</v>
      </c>
      <c r="G163" s="7" t="s">
        <v>11</v>
      </c>
      <c r="H163" s="78"/>
      <c r="I163" s="9" t="s">
        <v>935</v>
      </c>
    </row>
    <row r="164" spans="1:9" ht="66">
      <c r="A164" s="238">
        <v>162</v>
      </c>
      <c r="B164" s="29" t="s">
        <v>253</v>
      </c>
      <c r="C164" s="27" t="s">
        <v>274</v>
      </c>
      <c r="D164" s="31">
        <v>13</v>
      </c>
      <c r="E164" s="29" t="s">
        <v>275</v>
      </c>
      <c r="F164" s="30">
        <v>1250184</v>
      </c>
      <c r="G164" s="7" t="s">
        <v>11</v>
      </c>
      <c r="H164" s="78"/>
      <c r="I164" s="9" t="s">
        <v>935</v>
      </c>
    </row>
    <row r="165" spans="1:9" ht="33">
      <c r="A165" s="238">
        <v>163</v>
      </c>
      <c r="B165" s="29" t="s">
        <v>276</v>
      </c>
      <c r="C165" s="27" t="s">
        <v>277</v>
      </c>
      <c r="D165" s="31">
        <v>5</v>
      </c>
      <c r="E165" s="29" t="s">
        <v>278</v>
      </c>
      <c r="F165" s="30">
        <v>597768</v>
      </c>
      <c r="G165" s="7" t="s">
        <v>11</v>
      </c>
      <c r="H165" s="78"/>
      <c r="I165" s="9" t="s">
        <v>935</v>
      </c>
    </row>
    <row r="166" spans="1:9" ht="33">
      <c r="A166" s="238">
        <v>164</v>
      </c>
      <c r="B166" s="29" t="s">
        <v>276</v>
      </c>
      <c r="C166" s="27" t="s">
        <v>111</v>
      </c>
      <c r="D166" s="31">
        <v>3</v>
      </c>
      <c r="E166" s="29" t="s">
        <v>279</v>
      </c>
      <c r="F166" s="30">
        <v>684104</v>
      </c>
      <c r="G166" s="7" t="s">
        <v>11</v>
      </c>
      <c r="H166" s="78"/>
      <c r="I166" s="9" t="s">
        <v>935</v>
      </c>
    </row>
    <row r="167" spans="1:9" ht="33">
      <c r="A167" s="238">
        <v>165</v>
      </c>
      <c r="B167" s="29" t="s">
        <v>276</v>
      </c>
      <c r="C167" s="27" t="s">
        <v>280</v>
      </c>
      <c r="D167" s="31">
        <v>4</v>
      </c>
      <c r="E167" s="29" t="s">
        <v>281</v>
      </c>
      <c r="F167" s="30">
        <v>12276650</v>
      </c>
      <c r="G167" s="7" t="s">
        <v>11</v>
      </c>
      <c r="H167" s="78"/>
      <c r="I167" s="9" t="s">
        <v>935</v>
      </c>
    </row>
    <row r="168" spans="1:9" ht="33">
      <c r="A168" s="238">
        <v>166</v>
      </c>
      <c r="B168" s="29" t="s">
        <v>276</v>
      </c>
      <c r="C168" s="27" t="s">
        <v>104</v>
      </c>
      <c r="D168" s="31">
        <v>5</v>
      </c>
      <c r="E168" s="29" t="s">
        <v>282</v>
      </c>
      <c r="F168" s="30">
        <v>660000</v>
      </c>
      <c r="G168" s="7" t="s">
        <v>11</v>
      </c>
      <c r="H168" s="78"/>
      <c r="I168" s="9" t="s">
        <v>935</v>
      </c>
    </row>
    <row r="169" spans="1:9" ht="49.5">
      <c r="A169" s="238">
        <v>167</v>
      </c>
      <c r="B169" s="29" t="s">
        <v>276</v>
      </c>
      <c r="C169" s="27" t="s">
        <v>137</v>
      </c>
      <c r="D169" s="31">
        <v>3</v>
      </c>
      <c r="E169" s="29" t="s">
        <v>283</v>
      </c>
      <c r="F169" s="30">
        <v>5358976</v>
      </c>
      <c r="G169" s="7" t="s">
        <v>11</v>
      </c>
      <c r="H169" s="78"/>
      <c r="I169" s="9" t="s">
        <v>935</v>
      </c>
    </row>
    <row r="170" spans="1:9" ht="33">
      <c r="A170" s="238">
        <v>168</v>
      </c>
      <c r="B170" s="29" t="s">
        <v>276</v>
      </c>
      <c r="C170" s="34" t="s">
        <v>69</v>
      </c>
      <c r="D170" s="35">
        <v>1</v>
      </c>
      <c r="E170" s="36" t="s">
        <v>284</v>
      </c>
      <c r="F170" s="175" t="s">
        <v>285</v>
      </c>
      <c r="G170" s="7" t="s">
        <v>11</v>
      </c>
      <c r="H170" s="78"/>
      <c r="I170" s="9" t="s">
        <v>935</v>
      </c>
    </row>
    <row r="171" spans="1:9" ht="49.5">
      <c r="A171" s="238">
        <v>169</v>
      </c>
      <c r="B171" s="28" t="s">
        <v>286</v>
      </c>
      <c r="C171" s="27" t="s">
        <v>178</v>
      </c>
      <c r="D171" s="38">
        <v>6</v>
      </c>
      <c r="E171" s="29" t="s">
        <v>287</v>
      </c>
      <c r="F171" s="30">
        <v>4247839</v>
      </c>
      <c r="G171" s="7" t="s">
        <v>11</v>
      </c>
      <c r="H171" s="78"/>
      <c r="I171" s="9" t="s">
        <v>935</v>
      </c>
    </row>
    <row r="172" spans="1:9" ht="49.5">
      <c r="A172" s="238">
        <v>170</v>
      </c>
      <c r="B172" s="29" t="s">
        <v>288</v>
      </c>
      <c r="C172" s="27" t="s">
        <v>289</v>
      </c>
      <c r="D172" s="31">
        <v>2</v>
      </c>
      <c r="E172" s="28" t="s">
        <v>290</v>
      </c>
      <c r="F172" s="176">
        <v>22598926.629999999</v>
      </c>
      <c r="G172" s="7" t="s">
        <v>11</v>
      </c>
      <c r="H172" s="78"/>
      <c r="I172" s="9" t="s">
        <v>935</v>
      </c>
    </row>
    <row r="173" spans="1:9" ht="49.5">
      <c r="A173" s="238">
        <v>171</v>
      </c>
      <c r="B173" s="29" t="s">
        <v>288</v>
      </c>
      <c r="C173" s="39" t="s">
        <v>291</v>
      </c>
      <c r="D173" s="31">
        <v>5</v>
      </c>
      <c r="E173" s="28" t="s">
        <v>292</v>
      </c>
      <c r="F173" s="177">
        <v>4765847</v>
      </c>
      <c r="G173" s="7" t="s">
        <v>11</v>
      </c>
      <c r="H173" s="78"/>
      <c r="I173" s="9" t="s">
        <v>935</v>
      </c>
    </row>
    <row r="174" spans="1:9" ht="66">
      <c r="A174" s="238">
        <v>172</v>
      </c>
      <c r="B174" s="29" t="s">
        <v>288</v>
      </c>
      <c r="C174" s="39" t="s">
        <v>293</v>
      </c>
      <c r="D174" s="31">
        <v>3</v>
      </c>
      <c r="E174" s="28" t="s">
        <v>294</v>
      </c>
      <c r="F174" s="178" t="s">
        <v>295</v>
      </c>
      <c r="G174" s="7" t="s">
        <v>11</v>
      </c>
      <c r="H174" s="78"/>
      <c r="I174" s="9" t="s">
        <v>935</v>
      </c>
    </row>
    <row r="175" spans="1:9" ht="82.5">
      <c r="A175" s="238">
        <v>173</v>
      </c>
      <c r="B175" s="29" t="s">
        <v>288</v>
      </c>
      <c r="C175" s="27" t="s">
        <v>296</v>
      </c>
      <c r="D175" s="31">
        <v>5</v>
      </c>
      <c r="E175" s="29" t="s">
        <v>297</v>
      </c>
      <c r="F175" s="179">
        <v>2838094</v>
      </c>
      <c r="G175" s="7" t="s">
        <v>11</v>
      </c>
      <c r="H175" s="78"/>
      <c r="I175" s="9" t="s">
        <v>935</v>
      </c>
    </row>
    <row r="176" spans="1:9" ht="49.5">
      <c r="A176" s="238">
        <v>174</v>
      </c>
      <c r="B176" s="29" t="s">
        <v>298</v>
      </c>
      <c r="C176" s="27" t="s">
        <v>137</v>
      </c>
      <c r="D176" s="31">
        <v>3</v>
      </c>
      <c r="E176" s="29" t="s">
        <v>299</v>
      </c>
      <c r="F176" s="30">
        <v>2779462</v>
      </c>
      <c r="G176" s="7" t="s">
        <v>11</v>
      </c>
      <c r="H176" s="78"/>
      <c r="I176" s="9" t="s">
        <v>935</v>
      </c>
    </row>
    <row r="177" spans="1:9" ht="49.5">
      <c r="A177" s="238">
        <v>175</v>
      </c>
      <c r="B177" s="29" t="s">
        <v>298</v>
      </c>
      <c r="C177" s="27" t="s">
        <v>300</v>
      </c>
      <c r="D177" s="31">
        <v>3</v>
      </c>
      <c r="E177" s="29" t="s">
        <v>301</v>
      </c>
      <c r="F177" s="30">
        <v>28553710</v>
      </c>
      <c r="G177" s="7" t="s">
        <v>11</v>
      </c>
      <c r="H177" s="78"/>
      <c r="I177" s="9" t="s">
        <v>935</v>
      </c>
    </row>
    <row r="178" spans="1:9" ht="66">
      <c r="A178" s="238">
        <v>176</v>
      </c>
      <c r="B178" s="28" t="s">
        <v>286</v>
      </c>
      <c r="C178" s="39" t="s">
        <v>178</v>
      </c>
      <c r="D178" s="38">
        <v>5</v>
      </c>
      <c r="E178" s="28" t="s">
        <v>302</v>
      </c>
      <c r="F178" s="180">
        <v>312170</v>
      </c>
      <c r="G178" s="7" t="s">
        <v>11</v>
      </c>
      <c r="H178" s="78"/>
      <c r="I178" s="9" t="s">
        <v>935</v>
      </c>
    </row>
    <row r="179" spans="1:9" ht="66">
      <c r="A179" s="238">
        <v>177</v>
      </c>
      <c r="B179" s="28" t="s">
        <v>286</v>
      </c>
      <c r="C179" s="39" t="s">
        <v>274</v>
      </c>
      <c r="D179" s="38" t="s">
        <v>303</v>
      </c>
      <c r="E179" s="28" t="s">
        <v>304</v>
      </c>
      <c r="F179" s="181">
        <v>1049424</v>
      </c>
      <c r="G179" s="7" t="s">
        <v>11</v>
      </c>
      <c r="H179" s="78"/>
      <c r="I179" s="9" t="s">
        <v>935</v>
      </c>
    </row>
    <row r="180" spans="1:9" ht="49.5">
      <c r="A180" s="238">
        <v>178</v>
      </c>
      <c r="B180" s="28" t="s">
        <v>305</v>
      </c>
      <c r="C180" s="26" t="s">
        <v>306</v>
      </c>
      <c r="D180" s="32">
        <v>1</v>
      </c>
      <c r="E180" s="28" t="s">
        <v>307</v>
      </c>
      <c r="F180" s="177">
        <v>17207445</v>
      </c>
      <c r="G180" s="7" t="s">
        <v>11</v>
      </c>
      <c r="H180" s="78"/>
      <c r="I180" s="9" t="s">
        <v>935</v>
      </c>
    </row>
    <row r="181" spans="1:9" ht="66">
      <c r="A181" s="238">
        <v>179</v>
      </c>
      <c r="B181" s="28" t="s">
        <v>305</v>
      </c>
      <c r="C181" s="37" t="s">
        <v>308</v>
      </c>
      <c r="D181" s="37">
        <v>1</v>
      </c>
      <c r="E181" s="28" t="s">
        <v>309</v>
      </c>
      <c r="F181" s="182">
        <v>3043029</v>
      </c>
      <c r="G181" s="7" t="s">
        <v>11</v>
      </c>
      <c r="H181" s="78"/>
      <c r="I181" s="9" t="s">
        <v>935</v>
      </c>
    </row>
    <row r="182" spans="1:9" ht="66">
      <c r="A182" s="238">
        <v>180</v>
      </c>
      <c r="B182" s="28" t="s">
        <v>305</v>
      </c>
      <c r="C182" s="37" t="s">
        <v>308</v>
      </c>
      <c r="D182" s="37">
        <v>6</v>
      </c>
      <c r="E182" s="28" t="s">
        <v>310</v>
      </c>
      <c r="F182" s="182">
        <v>1049904</v>
      </c>
      <c r="G182" s="7" t="s">
        <v>11</v>
      </c>
      <c r="H182" s="78"/>
      <c r="I182" s="9" t="s">
        <v>935</v>
      </c>
    </row>
    <row r="183" spans="1:9" ht="33">
      <c r="A183" s="238">
        <v>181</v>
      </c>
      <c r="B183" s="28" t="s">
        <v>305</v>
      </c>
      <c r="C183" s="37" t="s">
        <v>264</v>
      </c>
      <c r="D183" s="37">
        <v>7</v>
      </c>
      <c r="E183" s="40" t="s">
        <v>311</v>
      </c>
      <c r="F183" s="182">
        <v>7912487</v>
      </c>
      <c r="G183" s="7" t="s">
        <v>11</v>
      </c>
      <c r="H183" s="78"/>
      <c r="I183" s="9" t="s">
        <v>935</v>
      </c>
    </row>
    <row r="184" spans="1:9" ht="63">
      <c r="A184" s="238">
        <v>182</v>
      </c>
      <c r="B184" s="28" t="s">
        <v>305</v>
      </c>
      <c r="C184" s="37" t="s">
        <v>312</v>
      </c>
      <c r="D184" s="37">
        <v>4</v>
      </c>
      <c r="E184" s="40" t="s">
        <v>313</v>
      </c>
      <c r="F184" s="182">
        <v>242439.42</v>
      </c>
      <c r="G184" s="7" t="s">
        <v>11</v>
      </c>
      <c r="H184" s="78"/>
      <c r="I184" s="9" t="s">
        <v>935</v>
      </c>
    </row>
    <row r="185" spans="1:9" ht="63">
      <c r="A185" s="238">
        <v>183</v>
      </c>
      <c r="B185" s="28" t="s">
        <v>305</v>
      </c>
      <c r="C185" s="37" t="s">
        <v>314</v>
      </c>
      <c r="D185" s="37" t="s">
        <v>315</v>
      </c>
      <c r="E185" s="40" t="s">
        <v>316</v>
      </c>
      <c r="F185" s="182">
        <v>351670</v>
      </c>
      <c r="G185" s="7" t="s">
        <v>11</v>
      </c>
      <c r="H185" s="78"/>
      <c r="I185" s="9" t="s">
        <v>935</v>
      </c>
    </row>
    <row r="186" spans="1:9" ht="47.25">
      <c r="A186" s="238">
        <v>184</v>
      </c>
      <c r="B186" s="28" t="s">
        <v>305</v>
      </c>
      <c r="C186" s="37" t="s">
        <v>317</v>
      </c>
      <c r="D186" s="37" t="s">
        <v>318</v>
      </c>
      <c r="E186" s="40" t="s">
        <v>319</v>
      </c>
      <c r="F186" s="182">
        <v>7522098</v>
      </c>
      <c r="G186" s="7" t="s">
        <v>11</v>
      </c>
      <c r="H186" s="78"/>
      <c r="I186" s="9" t="s">
        <v>935</v>
      </c>
    </row>
    <row r="187" spans="1:9" ht="110.25">
      <c r="A187" s="238">
        <v>185</v>
      </c>
      <c r="B187" s="28" t="s">
        <v>305</v>
      </c>
      <c r="C187" s="37" t="s">
        <v>317</v>
      </c>
      <c r="D187" s="37" t="s">
        <v>320</v>
      </c>
      <c r="E187" s="40" t="s">
        <v>321</v>
      </c>
      <c r="F187" s="182">
        <v>422814</v>
      </c>
      <c r="G187" s="7" t="s">
        <v>11</v>
      </c>
      <c r="H187" s="78"/>
      <c r="I187" s="9" t="s">
        <v>935</v>
      </c>
    </row>
    <row r="188" spans="1:9" ht="49.5">
      <c r="A188" s="238">
        <v>186</v>
      </c>
      <c r="B188" s="29" t="s">
        <v>322</v>
      </c>
      <c r="C188" s="27" t="s">
        <v>157</v>
      </c>
      <c r="D188" s="31">
        <v>1</v>
      </c>
      <c r="E188" s="29" t="s">
        <v>323</v>
      </c>
      <c r="F188" s="30">
        <v>2834610</v>
      </c>
      <c r="G188" s="7" t="s">
        <v>11</v>
      </c>
      <c r="H188" s="78"/>
      <c r="I188" s="9" t="s">
        <v>935</v>
      </c>
    </row>
    <row r="189" spans="1:9" ht="82.5">
      <c r="A189" s="238">
        <v>187</v>
      </c>
      <c r="B189" s="29" t="s">
        <v>322</v>
      </c>
      <c r="C189" s="37" t="s">
        <v>324</v>
      </c>
      <c r="D189" s="37" t="s">
        <v>325</v>
      </c>
      <c r="E189" s="29" t="s">
        <v>326</v>
      </c>
      <c r="F189" s="176" t="s">
        <v>327</v>
      </c>
      <c r="G189" s="7" t="s">
        <v>11</v>
      </c>
      <c r="H189" s="78"/>
      <c r="I189" s="9" t="s">
        <v>935</v>
      </c>
    </row>
    <row r="190" spans="1:9" ht="47.25">
      <c r="A190" s="238">
        <v>188</v>
      </c>
      <c r="B190" s="29" t="s">
        <v>322</v>
      </c>
      <c r="C190" s="37" t="s">
        <v>324</v>
      </c>
      <c r="D190" s="37" t="s">
        <v>328</v>
      </c>
      <c r="E190" s="40" t="s">
        <v>329</v>
      </c>
      <c r="F190" s="176" t="s">
        <v>330</v>
      </c>
      <c r="G190" s="7" t="s">
        <v>11</v>
      </c>
      <c r="H190" s="78"/>
      <c r="I190" s="9" t="s">
        <v>935</v>
      </c>
    </row>
    <row r="191" spans="1:9" ht="63">
      <c r="A191" s="238">
        <v>189</v>
      </c>
      <c r="B191" s="29" t="s">
        <v>322</v>
      </c>
      <c r="C191" s="37" t="s">
        <v>324</v>
      </c>
      <c r="D191" s="37" t="s">
        <v>331</v>
      </c>
      <c r="E191" s="40" t="s">
        <v>332</v>
      </c>
      <c r="F191" s="176" t="s">
        <v>333</v>
      </c>
      <c r="G191" s="7" t="s">
        <v>11</v>
      </c>
      <c r="H191" s="78"/>
      <c r="I191" s="9" t="s">
        <v>935</v>
      </c>
    </row>
    <row r="192" spans="1:9" ht="63">
      <c r="A192" s="238">
        <v>190</v>
      </c>
      <c r="B192" s="29" t="s">
        <v>322</v>
      </c>
      <c r="C192" s="37" t="s">
        <v>324</v>
      </c>
      <c r="D192" s="37" t="s">
        <v>334</v>
      </c>
      <c r="E192" s="40" t="s">
        <v>335</v>
      </c>
      <c r="F192" s="176" t="s">
        <v>336</v>
      </c>
      <c r="G192" s="7" t="s">
        <v>11</v>
      </c>
      <c r="H192" s="78"/>
      <c r="I192" s="9" t="s">
        <v>935</v>
      </c>
    </row>
    <row r="193" spans="1:9" ht="47.25">
      <c r="A193" s="238">
        <v>191</v>
      </c>
      <c r="B193" s="29" t="s">
        <v>337</v>
      </c>
      <c r="C193" s="37" t="s">
        <v>338</v>
      </c>
      <c r="D193" s="37">
        <v>7</v>
      </c>
      <c r="E193" s="40" t="s">
        <v>339</v>
      </c>
      <c r="F193" s="182">
        <v>19517532</v>
      </c>
      <c r="G193" s="7" t="s">
        <v>11</v>
      </c>
      <c r="H193" s="78"/>
      <c r="I193" s="9" t="s">
        <v>935</v>
      </c>
    </row>
    <row r="194" spans="1:9" ht="47.25">
      <c r="A194" s="238">
        <v>192</v>
      </c>
      <c r="B194" s="29" t="s">
        <v>337</v>
      </c>
      <c r="C194" s="37" t="s">
        <v>338</v>
      </c>
      <c r="D194" s="37">
        <v>28</v>
      </c>
      <c r="E194" s="40" t="s">
        <v>340</v>
      </c>
      <c r="F194" s="182">
        <v>672978</v>
      </c>
      <c r="G194" s="7" t="s">
        <v>11</v>
      </c>
      <c r="H194" s="78"/>
      <c r="I194" s="9" t="s">
        <v>935</v>
      </c>
    </row>
    <row r="195" spans="1:9" ht="78.75">
      <c r="A195" s="238">
        <v>193</v>
      </c>
      <c r="B195" s="29" t="s">
        <v>337</v>
      </c>
      <c r="C195" s="37" t="s">
        <v>338</v>
      </c>
      <c r="D195" s="37">
        <v>30</v>
      </c>
      <c r="E195" s="40" t="s">
        <v>341</v>
      </c>
      <c r="F195" s="182">
        <v>1257714</v>
      </c>
      <c r="G195" s="7" t="s">
        <v>11</v>
      </c>
      <c r="H195" s="78"/>
      <c r="I195" s="9" t="s">
        <v>935</v>
      </c>
    </row>
    <row r="196" spans="1:9" ht="47.25">
      <c r="A196" s="238">
        <v>194</v>
      </c>
      <c r="B196" s="29" t="s">
        <v>337</v>
      </c>
      <c r="C196" s="37" t="s">
        <v>338</v>
      </c>
      <c r="D196" s="37">
        <v>41</v>
      </c>
      <c r="E196" s="40" t="s">
        <v>342</v>
      </c>
      <c r="F196" s="182">
        <v>2505424</v>
      </c>
      <c r="G196" s="7" t="s">
        <v>11</v>
      </c>
      <c r="H196" s="78"/>
      <c r="I196" s="9" t="s">
        <v>935</v>
      </c>
    </row>
    <row r="197" spans="1:9" ht="47.25">
      <c r="A197" s="238">
        <v>195</v>
      </c>
      <c r="B197" s="29" t="s">
        <v>337</v>
      </c>
      <c r="C197" s="37" t="s">
        <v>343</v>
      </c>
      <c r="D197" s="37">
        <v>8</v>
      </c>
      <c r="E197" s="40" t="s">
        <v>344</v>
      </c>
      <c r="F197" s="182">
        <v>1612492</v>
      </c>
      <c r="G197" s="7" t="s">
        <v>11</v>
      </c>
      <c r="H197" s="78"/>
      <c r="I197" s="9" t="s">
        <v>935</v>
      </c>
    </row>
    <row r="198" spans="1:9" ht="78.75">
      <c r="A198" s="238">
        <v>196</v>
      </c>
      <c r="B198" s="29" t="s">
        <v>337</v>
      </c>
      <c r="C198" s="26" t="s">
        <v>324</v>
      </c>
      <c r="D198" s="26">
        <v>8</v>
      </c>
      <c r="E198" s="40" t="s">
        <v>345</v>
      </c>
      <c r="F198" s="1" t="s">
        <v>346</v>
      </c>
      <c r="G198" s="7" t="s">
        <v>11</v>
      </c>
      <c r="H198" s="78"/>
      <c r="I198" s="9" t="s">
        <v>935</v>
      </c>
    </row>
    <row r="199" spans="1:9" ht="63">
      <c r="A199" s="238">
        <v>197</v>
      </c>
      <c r="B199" s="29" t="s">
        <v>337</v>
      </c>
      <c r="C199" s="37" t="s">
        <v>324</v>
      </c>
      <c r="D199" s="37" t="s">
        <v>347</v>
      </c>
      <c r="E199" s="40" t="s">
        <v>348</v>
      </c>
      <c r="F199" s="176" t="s">
        <v>349</v>
      </c>
      <c r="G199" s="7" t="s">
        <v>11</v>
      </c>
      <c r="H199" s="78"/>
      <c r="I199" s="9" t="s">
        <v>935</v>
      </c>
    </row>
    <row r="200" spans="1:9" ht="63">
      <c r="A200" s="238">
        <v>198</v>
      </c>
      <c r="B200" s="29" t="s">
        <v>337</v>
      </c>
      <c r="C200" s="37" t="s">
        <v>324</v>
      </c>
      <c r="D200" s="37" t="s">
        <v>350</v>
      </c>
      <c r="E200" s="40" t="s">
        <v>351</v>
      </c>
      <c r="F200" s="176" t="s">
        <v>352</v>
      </c>
      <c r="G200" s="7" t="s">
        <v>11</v>
      </c>
      <c r="H200" s="78"/>
      <c r="I200" s="9" t="s">
        <v>935</v>
      </c>
    </row>
    <row r="201" spans="1:9" ht="94.5">
      <c r="A201" s="238">
        <v>199</v>
      </c>
      <c r="B201" s="29" t="s">
        <v>337</v>
      </c>
      <c r="C201" s="26" t="s">
        <v>324</v>
      </c>
      <c r="D201" s="26" t="s">
        <v>353</v>
      </c>
      <c r="E201" s="40" t="s">
        <v>354</v>
      </c>
      <c r="F201" s="44" t="s">
        <v>355</v>
      </c>
      <c r="G201" s="7" t="s">
        <v>11</v>
      </c>
      <c r="H201" s="78"/>
      <c r="I201" s="9" t="s">
        <v>935</v>
      </c>
    </row>
    <row r="202" spans="1:9" ht="63">
      <c r="A202" s="238">
        <v>200</v>
      </c>
      <c r="B202" s="29" t="s">
        <v>337</v>
      </c>
      <c r="C202" s="37" t="s">
        <v>324</v>
      </c>
      <c r="D202" s="37" t="s">
        <v>356</v>
      </c>
      <c r="E202" s="40" t="s">
        <v>357</v>
      </c>
      <c r="F202" s="176" t="s">
        <v>358</v>
      </c>
      <c r="G202" s="7" t="s">
        <v>11</v>
      </c>
      <c r="H202" s="78"/>
      <c r="I202" s="9" t="s">
        <v>935</v>
      </c>
    </row>
    <row r="203" spans="1:9" ht="49.5">
      <c r="A203" s="238">
        <v>201</v>
      </c>
      <c r="B203" s="28" t="s">
        <v>359</v>
      </c>
      <c r="C203" s="37" t="s">
        <v>324</v>
      </c>
      <c r="D203" s="37">
        <v>27</v>
      </c>
      <c r="E203" s="40" t="s">
        <v>360</v>
      </c>
      <c r="F203" s="176" t="s">
        <v>361</v>
      </c>
      <c r="G203" s="7" t="s">
        <v>11</v>
      </c>
      <c r="H203" s="78"/>
      <c r="I203" s="9" t="s">
        <v>935</v>
      </c>
    </row>
    <row r="204" spans="1:9" ht="63">
      <c r="A204" s="238">
        <v>202</v>
      </c>
      <c r="B204" s="28" t="s">
        <v>359</v>
      </c>
      <c r="C204" s="37" t="s">
        <v>324</v>
      </c>
      <c r="D204" s="37">
        <v>44</v>
      </c>
      <c r="E204" s="40" t="s">
        <v>362</v>
      </c>
      <c r="F204" s="176" t="s">
        <v>363</v>
      </c>
      <c r="G204" s="7" t="s">
        <v>11</v>
      </c>
      <c r="H204" s="78"/>
      <c r="I204" s="9" t="s">
        <v>935</v>
      </c>
    </row>
    <row r="205" spans="1:9" ht="63">
      <c r="A205" s="238">
        <v>203</v>
      </c>
      <c r="B205" s="29" t="s">
        <v>364</v>
      </c>
      <c r="C205" s="37" t="s">
        <v>317</v>
      </c>
      <c r="D205" s="37" t="s">
        <v>365</v>
      </c>
      <c r="E205" s="40" t="s">
        <v>366</v>
      </c>
      <c r="F205" s="182">
        <v>44185</v>
      </c>
      <c r="G205" s="7" t="s">
        <v>11</v>
      </c>
      <c r="H205" s="78"/>
      <c r="I205" s="9" t="s">
        <v>935</v>
      </c>
    </row>
    <row r="206" spans="1:9" ht="63">
      <c r="A206" s="238">
        <v>204</v>
      </c>
      <c r="B206" s="29" t="s">
        <v>364</v>
      </c>
      <c r="C206" s="37" t="s">
        <v>317</v>
      </c>
      <c r="D206" s="37" t="s">
        <v>367</v>
      </c>
      <c r="E206" s="40" t="s">
        <v>368</v>
      </c>
      <c r="F206" s="182">
        <v>66020</v>
      </c>
      <c r="G206" s="7" t="s">
        <v>11</v>
      </c>
      <c r="H206" s="78"/>
      <c r="I206" s="9" t="s">
        <v>935</v>
      </c>
    </row>
    <row r="207" spans="1:9" ht="49.5">
      <c r="A207" s="238">
        <v>205</v>
      </c>
      <c r="B207" s="29" t="s">
        <v>364</v>
      </c>
      <c r="C207" s="37" t="s">
        <v>317</v>
      </c>
      <c r="D207" s="39" t="s">
        <v>369</v>
      </c>
      <c r="E207" s="28" t="s">
        <v>370</v>
      </c>
      <c r="F207" s="181">
        <v>272076</v>
      </c>
      <c r="G207" s="7" t="s">
        <v>11</v>
      </c>
      <c r="H207" s="78"/>
      <c r="I207" s="9" t="s">
        <v>935</v>
      </c>
    </row>
    <row r="208" spans="1:9" ht="82.5">
      <c r="A208" s="238">
        <v>206</v>
      </c>
      <c r="B208" s="29" t="s">
        <v>371</v>
      </c>
      <c r="C208" s="27" t="s">
        <v>111</v>
      </c>
      <c r="D208" s="31">
        <v>3</v>
      </c>
      <c r="E208" s="29" t="s">
        <v>372</v>
      </c>
      <c r="F208" s="30">
        <v>612544</v>
      </c>
      <c r="G208" s="7" t="s">
        <v>11</v>
      </c>
      <c r="H208" s="78"/>
      <c r="I208" s="9" t="s">
        <v>935</v>
      </c>
    </row>
    <row r="209" spans="1:9" ht="49.5">
      <c r="A209" s="238">
        <v>207</v>
      </c>
      <c r="B209" s="29" t="s">
        <v>371</v>
      </c>
      <c r="C209" s="27" t="s">
        <v>153</v>
      </c>
      <c r="D209" s="31">
        <v>2</v>
      </c>
      <c r="E209" s="29" t="s">
        <v>373</v>
      </c>
      <c r="F209" s="30">
        <v>11718724</v>
      </c>
      <c r="G209" s="7" t="s">
        <v>11</v>
      </c>
      <c r="H209" s="78"/>
      <c r="I209" s="9" t="s">
        <v>935</v>
      </c>
    </row>
    <row r="210" spans="1:9" ht="49.5">
      <c r="A210" s="238">
        <v>208</v>
      </c>
      <c r="B210" s="29" t="s">
        <v>371</v>
      </c>
      <c r="C210" s="27" t="s">
        <v>157</v>
      </c>
      <c r="D210" s="31">
        <v>1</v>
      </c>
      <c r="E210" s="29" t="s">
        <v>323</v>
      </c>
      <c r="F210" s="30">
        <v>987848</v>
      </c>
      <c r="G210" s="7" t="s">
        <v>11</v>
      </c>
      <c r="H210" s="78"/>
      <c r="I210" s="9" t="s">
        <v>935</v>
      </c>
    </row>
    <row r="211" spans="1:9" ht="78.75">
      <c r="A211" s="238">
        <v>209</v>
      </c>
      <c r="B211" s="29" t="s">
        <v>371</v>
      </c>
      <c r="C211" s="37" t="s">
        <v>324</v>
      </c>
      <c r="D211" s="37">
        <v>7</v>
      </c>
      <c r="E211" s="40" t="s">
        <v>374</v>
      </c>
      <c r="F211" s="176" t="s">
        <v>375</v>
      </c>
      <c r="G211" s="7" t="s">
        <v>11</v>
      </c>
      <c r="H211" s="78"/>
      <c r="I211" s="9" t="s">
        <v>935</v>
      </c>
    </row>
    <row r="212" spans="1:9" ht="78.75">
      <c r="A212" s="238">
        <v>210</v>
      </c>
      <c r="B212" s="29" t="s">
        <v>371</v>
      </c>
      <c r="C212" s="37" t="s">
        <v>324</v>
      </c>
      <c r="D212" s="37" t="s">
        <v>376</v>
      </c>
      <c r="E212" s="40" t="s">
        <v>377</v>
      </c>
      <c r="F212" s="176" t="s">
        <v>378</v>
      </c>
      <c r="G212" s="7" t="s">
        <v>11</v>
      </c>
      <c r="H212" s="78"/>
      <c r="I212" s="9" t="s">
        <v>935</v>
      </c>
    </row>
    <row r="213" spans="1:9" ht="63">
      <c r="A213" s="238">
        <v>211</v>
      </c>
      <c r="B213" s="29" t="s">
        <v>371</v>
      </c>
      <c r="C213" s="37" t="s">
        <v>324</v>
      </c>
      <c r="D213" s="37" t="s">
        <v>379</v>
      </c>
      <c r="E213" s="40" t="s">
        <v>380</v>
      </c>
      <c r="F213" s="176" t="s">
        <v>381</v>
      </c>
      <c r="G213" s="7" t="s">
        <v>11</v>
      </c>
      <c r="H213" s="78"/>
      <c r="I213" s="9" t="s">
        <v>935</v>
      </c>
    </row>
    <row r="214" spans="1:9" ht="63">
      <c r="A214" s="238">
        <v>212</v>
      </c>
      <c r="B214" s="29" t="s">
        <v>371</v>
      </c>
      <c r="C214" s="37" t="s">
        <v>324</v>
      </c>
      <c r="D214" s="37" t="s">
        <v>382</v>
      </c>
      <c r="E214" s="40" t="s">
        <v>383</v>
      </c>
      <c r="F214" s="176" t="s">
        <v>384</v>
      </c>
      <c r="G214" s="7" t="s">
        <v>11</v>
      </c>
      <c r="H214" s="78"/>
      <c r="I214" s="9" t="s">
        <v>935</v>
      </c>
    </row>
    <row r="215" spans="1:9" ht="49.5">
      <c r="A215" s="238">
        <v>213</v>
      </c>
      <c r="B215" s="29" t="s">
        <v>371</v>
      </c>
      <c r="C215" s="37" t="s">
        <v>324</v>
      </c>
      <c r="D215" s="37" t="s">
        <v>385</v>
      </c>
      <c r="E215" s="40" t="s">
        <v>386</v>
      </c>
      <c r="F215" s="176" t="s">
        <v>387</v>
      </c>
      <c r="G215" s="7" t="s">
        <v>11</v>
      </c>
      <c r="H215" s="78"/>
      <c r="I215" s="9" t="s">
        <v>935</v>
      </c>
    </row>
    <row r="216" spans="1:9" ht="94.5">
      <c r="A216" s="238">
        <v>214</v>
      </c>
      <c r="B216" s="29" t="s">
        <v>371</v>
      </c>
      <c r="C216" s="37" t="s">
        <v>324</v>
      </c>
      <c r="D216" s="37" t="s">
        <v>388</v>
      </c>
      <c r="E216" s="40" t="s">
        <v>389</v>
      </c>
      <c r="F216" s="176" t="s">
        <v>390</v>
      </c>
      <c r="G216" s="7" t="s">
        <v>11</v>
      </c>
      <c r="H216" s="78"/>
      <c r="I216" s="9" t="s">
        <v>935</v>
      </c>
    </row>
    <row r="217" spans="1:9" ht="82.5">
      <c r="A217" s="238">
        <v>215</v>
      </c>
      <c r="B217" s="29" t="s">
        <v>391</v>
      </c>
      <c r="C217" s="37" t="s">
        <v>153</v>
      </c>
      <c r="D217" s="37">
        <v>2</v>
      </c>
      <c r="E217" s="28" t="s">
        <v>392</v>
      </c>
      <c r="F217" s="182">
        <v>1123656</v>
      </c>
      <c r="G217" s="7" t="s">
        <v>11</v>
      </c>
      <c r="H217" s="78"/>
      <c r="I217" s="9" t="s">
        <v>935</v>
      </c>
    </row>
    <row r="218" spans="1:9" ht="49.5">
      <c r="A218" s="238">
        <v>216</v>
      </c>
      <c r="B218" s="29" t="s">
        <v>391</v>
      </c>
      <c r="C218" s="37" t="s">
        <v>157</v>
      </c>
      <c r="D218" s="37">
        <v>1</v>
      </c>
      <c r="E218" s="28" t="s">
        <v>393</v>
      </c>
      <c r="F218" s="182">
        <v>2115104</v>
      </c>
      <c r="G218" s="7" t="s">
        <v>11</v>
      </c>
      <c r="H218" s="78"/>
      <c r="I218" s="9" t="s">
        <v>935</v>
      </c>
    </row>
    <row r="219" spans="1:9" ht="82.5">
      <c r="A219" s="238">
        <v>217</v>
      </c>
      <c r="B219" s="29" t="s">
        <v>391</v>
      </c>
      <c r="C219" s="37" t="s">
        <v>157</v>
      </c>
      <c r="D219" s="37">
        <v>42</v>
      </c>
      <c r="E219" s="28" t="s">
        <v>394</v>
      </c>
      <c r="F219" s="182">
        <v>4378922</v>
      </c>
      <c r="G219" s="7" t="s">
        <v>11</v>
      </c>
      <c r="H219" s="78"/>
      <c r="I219" s="9" t="s">
        <v>935</v>
      </c>
    </row>
    <row r="220" spans="1:9" ht="33">
      <c r="A220" s="238">
        <v>218</v>
      </c>
      <c r="B220" s="29" t="s">
        <v>391</v>
      </c>
      <c r="C220" s="37" t="s">
        <v>157</v>
      </c>
      <c r="D220" s="37">
        <v>48</v>
      </c>
      <c r="E220" s="28" t="s">
        <v>395</v>
      </c>
      <c r="F220" s="182">
        <v>978048</v>
      </c>
      <c r="G220" s="7" t="s">
        <v>11</v>
      </c>
      <c r="H220" s="78"/>
      <c r="I220" s="9" t="s">
        <v>935</v>
      </c>
    </row>
    <row r="221" spans="1:9" ht="49.5">
      <c r="A221" s="238">
        <v>219</v>
      </c>
      <c r="B221" s="29" t="s">
        <v>391</v>
      </c>
      <c r="C221" s="37" t="s">
        <v>157</v>
      </c>
      <c r="D221" s="37">
        <v>6</v>
      </c>
      <c r="E221" s="28" t="s">
        <v>396</v>
      </c>
      <c r="F221" s="182">
        <v>73435829</v>
      </c>
      <c r="G221" s="7" t="s">
        <v>11</v>
      </c>
      <c r="H221" s="78"/>
      <c r="I221" s="9" t="s">
        <v>935</v>
      </c>
    </row>
    <row r="222" spans="1:9" ht="66">
      <c r="A222" s="238">
        <v>220</v>
      </c>
      <c r="B222" s="29" t="s">
        <v>391</v>
      </c>
      <c r="C222" s="37" t="s">
        <v>324</v>
      </c>
      <c r="D222" s="37" t="s">
        <v>397</v>
      </c>
      <c r="E222" s="28" t="s">
        <v>398</v>
      </c>
      <c r="F222" s="176" t="s">
        <v>399</v>
      </c>
      <c r="G222" s="7" t="s">
        <v>11</v>
      </c>
      <c r="H222" s="78"/>
      <c r="I222" s="9" t="s">
        <v>935</v>
      </c>
    </row>
    <row r="223" spans="1:9" ht="82.5">
      <c r="A223" s="238">
        <v>221</v>
      </c>
      <c r="B223" s="29" t="s">
        <v>391</v>
      </c>
      <c r="C223" s="37" t="s">
        <v>324</v>
      </c>
      <c r="D223" s="35">
        <v>32</v>
      </c>
      <c r="E223" s="28" t="s">
        <v>400</v>
      </c>
      <c r="F223" s="176" t="s">
        <v>401</v>
      </c>
      <c r="G223" s="7" t="s">
        <v>11</v>
      </c>
      <c r="H223" s="78"/>
      <c r="I223" s="9" t="s">
        <v>935</v>
      </c>
    </row>
    <row r="224" spans="1:9" ht="49.5">
      <c r="A224" s="238">
        <v>222</v>
      </c>
      <c r="B224" s="29" t="s">
        <v>402</v>
      </c>
      <c r="C224" s="27" t="s">
        <v>403</v>
      </c>
      <c r="D224" s="31">
        <v>4</v>
      </c>
      <c r="E224" s="40" t="s">
        <v>404</v>
      </c>
      <c r="F224" s="179">
        <v>4648207</v>
      </c>
      <c r="G224" s="7" t="s">
        <v>11</v>
      </c>
      <c r="H224" s="78"/>
      <c r="I224" s="9" t="s">
        <v>935</v>
      </c>
    </row>
    <row r="225" spans="1:9" ht="47.25">
      <c r="A225" s="238">
        <v>223</v>
      </c>
      <c r="B225" s="29" t="s">
        <v>405</v>
      </c>
      <c r="C225" s="37" t="s">
        <v>406</v>
      </c>
      <c r="D225" s="37">
        <v>3</v>
      </c>
      <c r="E225" s="40" t="s">
        <v>407</v>
      </c>
      <c r="F225" s="182">
        <v>2377831</v>
      </c>
      <c r="G225" s="7" t="s">
        <v>11</v>
      </c>
      <c r="H225" s="78"/>
      <c r="I225" s="9" t="s">
        <v>935</v>
      </c>
    </row>
    <row r="226" spans="1:9" ht="33">
      <c r="A226" s="238">
        <v>224</v>
      </c>
      <c r="B226" s="29" t="s">
        <v>408</v>
      </c>
      <c r="C226" s="37" t="s">
        <v>264</v>
      </c>
      <c r="D226" s="37">
        <v>1</v>
      </c>
      <c r="E226" s="40" t="s">
        <v>409</v>
      </c>
      <c r="F226" s="182">
        <v>4130510</v>
      </c>
      <c r="G226" s="7" t="s">
        <v>11</v>
      </c>
      <c r="H226" s="78"/>
      <c r="I226" s="9" t="s">
        <v>935</v>
      </c>
    </row>
    <row r="227" spans="1:9" ht="47.25">
      <c r="A227" s="238">
        <v>225</v>
      </c>
      <c r="B227" s="29" t="s">
        <v>408</v>
      </c>
      <c r="C227" s="37" t="s">
        <v>343</v>
      </c>
      <c r="D227" s="37">
        <v>1</v>
      </c>
      <c r="E227" s="40" t="s">
        <v>410</v>
      </c>
      <c r="F227" s="182">
        <v>5977151</v>
      </c>
      <c r="G227" s="7" t="s">
        <v>11</v>
      </c>
      <c r="H227" s="78"/>
      <c r="I227" s="9" t="s">
        <v>935</v>
      </c>
    </row>
    <row r="228" spans="1:9" ht="47.25">
      <c r="A228" s="238">
        <v>226</v>
      </c>
      <c r="B228" s="29" t="s">
        <v>408</v>
      </c>
      <c r="C228" s="37" t="s">
        <v>296</v>
      </c>
      <c r="D228" s="37">
        <v>1</v>
      </c>
      <c r="E228" s="40" t="s">
        <v>411</v>
      </c>
      <c r="F228" s="182">
        <v>21935199</v>
      </c>
      <c r="G228" s="7" t="s">
        <v>11</v>
      </c>
      <c r="H228" s="78"/>
      <c r="I228" s="9" t="s">
        <v>935</v>
      </c>
    </row>
    <row r="229" spans="1:9" ht="63">
      <c r="A229" s="238">
        <v>227</v>
      </c>
      <c r="B229" s="29" t="s">
        <v>408</v>
      </c>
      <c r="C229" s="37" t="s">
        <v>296</v>
      </c>
      <c r="D229" s="37">
        <v>4</v>
      </c>
      <c r="E229" s="40" t="s">
        <v>412</v>
      </c>
      <c r="F229" s="182">
        <v>3157633</v>
      </c>
      <c r="G229" s="7" t="s">
        <v>11</v>
      </c>
      <c r="H229" s="78"/>
      <c r="I229" s="9" t="s">
        <v>935</v>
      </c>
    </row>
    <row r="230" spans="1:9" ht="47.25">
      <c r="A230" s="238">
        <v>228</v>
      </c>
      <c r="B230" s="29" t="s">
        <v>408</v>
      </c>
      <c r="C230" s="26" t="s">
        <v>413</v>
      </c>
      <c r="D230" s="37">
        <v>1</v>
      </c>
      <c r="E230" s="40" t="s">
        <v>414</v>
      </c>
      <c r="F230" s="182">
        <v>1857673</v>
      </c>
      <c r="G230" s="7" t="s">
        <v>11</v>
      </c>
      <c r="H230" s="78"/>
      <c r="I230" s="9" t="s">
        <v>935</v>
      </c>
    </row>
    <row r="231" spans="1:9" ht="66">
      <c r="A231" s="238">
        <v>229</v>
      </c>
      <c r="B231" s="29" t="s">
        <v>408</v>
      </c>
      <c r="C231" s="37" t="s">
        <v>324</v>
      </c>
      <c r="D231" s="37" t="s">
        <v>415</v>
      </c>
      <c r="E231" s="28" t="s">
        <v>416</v>
      </c>
      <c r="F231" s="176" t="s">
        <v>417</v>
      </c>
      <c r="G231" s="7" t="s">
        <v>11</v>
      </c>
      <c r="H231" s="78"/>
      <c r="I231" s="9" t="s">
        <v>935</v>
      </c>
    </row>
    <row r="232" spans="1:9" ht="47.25">
      <c r="A232" s="238">
        <v>230</v>
      </c>
      <c r="B232" s="29" t="s">
        <v>408</v>
      </c>
      <c r="C232" s="37" t="s">
        <v>324</v>
      </c>
      <c r="D232" s="37" t="s">
        <v>418</v>
      </c>
      <c r="E232" s="40" t="s">
        <v>419</v>
      </c>
      <c r="F232" s="176" t="s">
        <v>420</v>
      </c>
      <c r="G232" s="7" t="s">
        <v>11</v>
      </c>
      <c r="H232" s="78"/>
      <c r="I232" s="9" t="s">
        <v>935</v>
      </c>
    </row>
    <row r="233" spans="1:9" ht="47.25">
      <c r="A233" s="238">
        <v>231</v>
      </c>
      <c r="B233" s="29" t="s">
        <v>408</v>
      </c>
      <c r="C233" s="37" t="s">
        <v>324</v>
      </c>
      <c r="D233" s="37" t="s">
        <v>421</v>
      </c>
      <c r="E233" s="40" t="s">
        <v>422</v>
      </c>
      <c r="F233" s="176" t="s">
        <v>423</v>
      </c>
      <c r="G233" s="7" t="s">
        <v>11</v>
      </c>
      <c r="H233" s="78"/>
      <c r="I233" s="9" t="s">
        <v>935</v>
      </c>
    </row>
    <row r="234" spans="1:9" ht="63">
      <c r="A234" s="238">
        <v>232</v>
      </c>
      <c r="B234" s="29" t="s">
        <v>408</v>
      </c>
      <c r="C234" s="37" t="s">
        <v>324</v>
      </c>
      <c r="D234" s="37">
        <v>45</v>
      </c>
      <c r="E234" s="40" t="s">
        <v>424</v>
      </c>
      <c r="F234" s="183" t="s">
        <v>425</v>
      </c>
      <c r="G234" s="7" t="s">
        <v>11</v>
      </c>
      <c r="H234" s="78"/>
      <c r="I234" s="9" t="s">
        <v>935</v>
      </c>
    </row>
    <row r="235" spans="1:9" ht="33">
      <c r="A235" s="238">
        <v>233</v>
      </c>
      <c r="B235" s="29" t="s">
        <v>426</v>
      </c>
      <c r="C235" s="37" t="s">
        <v>126</v>
      </c>
      <c r="D235" s="35">
        <v>6</v>
      </c>
      <c r="E235" s="28" t="s">
        <v>427</v>
      </c>
      <c r="F235" s="184">
        <v>842834</v>
      </c>
      <c r="G235" s="7" t="s">
        <v>11</v>
      </c>
      <c r="H235" s="78"/>
      <c r="I235" s="9" t="s">
        <v>935</v>
      </c>
    </row>
    <row r="236" spans="1:9" ht="33">
      <c r="A236" s="238">
        <v>234</v>
      </c>
      <c r="B236" s="29" t="s">
        <v>426</v>
      </c>
      <c r="C236" s="37" t="s">
        <v>428</v>
      </c>
      <c r="D236" s="35">
        <v>3</v>
      </c>
      <c r="E236" s="28" t="s">
        <v>429</v>
      </c>
      <c r="F236" s="184">
        <v>1659636</v>
      </c>
      <c r="G236" s="7" t="s">
        <v>11</v>
      </c>
      <c r="H236" s="78"/>
      <c r="I236" s="9" t="s">
        <v>935</v>
      </c>
    </row>
    <row r="237" spans="1:9" ht="82.5">
      <c r="A237" s="238">
        <v>235</v>
      </c>
      <c r="B237" s="29" t="s">
        <v>426</v>
      </c>
      <c r="C237" s="37" t="s">
        <v>80</v>
      </c>
      <c r="D237" s="37">
        <v>4</v>
      </c>
      <c r="E237" s="28" t="s">
        <v>430</v>
      </c>
      <c r="F237" s="184">
        <v>22959489</v>
      </c>
      <c r="G237" s="7" t="s">
        <v>11</v>
      </c>
      <c r="H237" s="78"/>
      <c r="I237" s="9" t="s">
        <v>935</v>
      </c>
    </row>
    <row r="238" spans="1:9" ht="66">
      <c r="A238" s="238">
        <v>236</v>
      </c>
      <c r="B238" s="29" t="s">
        <v>431</v>
      </c>
      <c r="C238" s="37" t="s">
        <v>432</v>
      </c>
      <c r="D238" s="37">
        <v>2</v>
      </c>
      <c r="E238" s="28" t="s">
        <v>433</v>
      </c>
      <c r="F238" s="182">
        <v>816722</v>
      </c>
      <c r="G238" s="7" t="s">
        <v>11</v>
      </c>
      <c r="H238" s="78"/>
      <c r="I238" s="9" t="s">
        <v>935</v>
      </c>
    </row>
    <row r="239" spans="1:9" ht="49.5">
      <c r="A239" s="238">
        <v>237</v>
      </c>
      <c r="B239" s="29" t="s">
        <v>434</v>
      </c>
      <c r="C239" s="37" t="s">
        <v>435</v>
      </c>
      <c r="D239" s="35">
        <v>2</v>
      </c>
      <c r="E239" s="28" t="s">
        <v>436</v>
      </c>
      <c r="F239" s="182">
        <v>5480145</v>
      </c>
      <c r="G239" s="7" t="s">
        <v>11</v>
      </c>
      <c r="H239" s="78"/>
      <c r="I239" s="9" t="s">
        <v>935</v>
      </c>
    </row>
    <row r="240" spans="1:9" ht="49.5">
      <c r="A240" s="238">
        <v>238</v>
      </c>
      <c r="B240" s="29" t="s">
        <v>434</v>
      </c>
      <c r="C240" s="37" t="s">
        <v>435</v>
      </c>
      <c r="D240" s="35">
        <v>3</v>
      </c>
      <c r="E240" s="28" t="s">
        <v>437</v>
      </c>
      <c r="F240" s="182">
        <v>1590417</v>
      </c>
      <c r="G240" s="7" t="s">
        <v>11</v>
      </c>
      <c r="H240" s="78"/>
      <c r="I240" s="9" t="s">
        <v>935</v>
      </c>
    </row>
    <row r="241" spans="1:9" ht="49.5">
      <c r="A241" s="238">
        <v>239</v>
      </c>
      <c r="B241" s="29" t="s">
        <v>438</v>
      </c>
      <c r="C241" s="39" t="s">
        <v>439</v>
      </c>
      <c r="D241" s="39" t="s">
        <v>440</v>
      </c>
      <c r="E241" s="28" t="s">
        <v>441</v>
      </c>
      <c r="F241" s="43" t="s">
        <v>442</v>
      </c>
      <c r="G241" s="7" t="s">
        <v>11</v>
      </c>
      <c r="H241" s="78"/>
      <c r="I241" s="9" t="s">
        <v>935</v>
      </c>
    </row>
    <row r="242" spans="1:9" ht="33">
      <c r="A242" s="238">
        <v>240</v>
      </c>
      <c r="B242" s="29" t="s">
        <v>443</v>
      </c>
      <c r="C242" s="39" t="s">
        <v>444</v>
      </c>
      <c r="D242" s="39" t="s">
        <v>440</v>
      </c>
      <c r="E242" s="28" t="s">
        <v>445</v>
      </c>
      <c r="F242" s="43" t="s">
        <v>446</v>
      </c>
      <c r="G242" s="7" t="s">
        <v>11</v>
      </c>
      <c r="H242" s="78"/>
      <c r="I242" s="9" t="s">
        <v>935</v>
      </c>
    </row>
    <row r="243" spans="1:9" ht="33">
      <c r="A243" s="238">
        <v>241</v>
      </c>
      <c r="B243" s="29" t="s">
        <v>443</v>
      </c>
      <c r="C243" s="39" t="s">
        <v>447</v>
      </c>
      <c r="D243" s="39" t="s">
        <v>448</v>
      </c>
      <c r="E243" s="28" t="s">
        <v>449</v>
      </c>
      <c r="F243" s="43" t="s">
        <v>450</v>
      </c>
      <c r="G243" s="7" t="s">
        <v>11</v>
      </c>
      <c r="H243" s="78"/>
      <c r="I243" s="9" t="s">
        <v>935</v>
      </c>
    </row>
    <row r="244" spans="1:9" ht="49.5">
      <c r="A244" s="238">
        <v>242</v>
      </c>
      <c r="B244" s="29" t="s">
        <v>451</v>
      </c>
      <c r="C244" s="37" t="s">
        <v>452</v>
      </c>
      <c r="D244" s="35">
        <v>5</v>
      </c>
      <c r="E244" s="28" t="s">
        <v>453</v>
      </c>
      <c r="F244" s="182">
        <v>1162112</v>
      </c>
      <c r="G244" s="7" t="s">
        <v>11</v>
      </c>
      <c r="H244" s="78"/>
      <c r="I244" s="9" t="s">
        <v>935</v>
      </c>
    </row>
    <row r="245" spans="1:9" ht="33">
      <c r="A245" s="238">
        <v>243</v>
      </c>
      <c r="B245" s="29" t="s">
        <v>454</v>
      </c>
      <c r="C245" s="37" t="s">
        <v>455</v>
      </c>
      <c r="D245" s="37">
        <v>1</v>
      </c>
      <c r="E245" s="40" t="s">
        <v>456</v>
      </c>
      <c r="F245" s="182">
        <v>82624</v>
      </c>
      <c r="G245" s="7" t="s">
        <v>11</v>
      </c>
      <c r="H245" s="78"/>
      <c r="I245" s="9" t="s">
        <v>935</v>
      </c>
    </row>
    <row r="246" spans="1:9" ht="33">
      <c r="A246" s="238">
        <v>244</v>
      </c>
      <c r="B246" s="29" t="s">
        <v>457</v>
      </c>
      <c r="C246" s="37" t="s">
        <v>458</v>
      </c>
      <c r="D246" s="37">
        <v>1</v>
      </c>
      <c r="E246" s="40" t="s">
        <v>459</v>
      </c>
      <c r="F246" s="182">
        <v>1861000</v>
      </c>
      <c r="G246" s="7" t="s">
        <v>11</v>
      </c>
      <c r="H246" s="78"/>
      <c r="I246" s="9" t="s">
        <v>935</v>
      </c>
    </row>
    <row r="247" spans="1:9" ht="49.5">
      <c r="A247" s="238">
        <v>245</v>
      </c>
      <c r="B247" s="29" t="s">
        <v>460</v>
      </c>
      <c r="C247" s="37" t="s">
        <v>157</v>
      </c>
      <c r="D247" s="37">
        <v>5</v>
      </c>
      <c r="E247" s="28" t="s">
        <v>461</v>
      </c>
      <c r="F247" s="184">
        <v>403781</v>
      </c>
      <c r="G247" s="7" t="s">
        <v>11</v>
      </c>
      <c r="H247" s="78"/>
      <c r="I247" s="9" t="s">
        <v>935</v>
      </c>
    </row>
    <row r="248" spans="1:9" ht="49.5">
      <c r="A248" s="238">
        <v>246</v>
      </c>
      <c r="B248" s="29" t="s">
        <v>460</v>
      </c>
      <c r="C248" s="37" t="s">
        <v>462</v>
      </c>
      <c r="D248" s="37">
        <v>4</v>
      </c>
      <c r="E248" s="28" t="s">
        <v>463</v>
      </c>
      <c r="F248" s="184">
        <v>1508400</v>
      </c>
      <c r="G248" s="7" t="s">
        <v>11</v>
      </c>
      <c r="H248" s="78"/>
      <c r="I248" s="9" t="s">
        <v>935</v>
      </c>
    </row>
    <row r="249" spans="1:9" ht="49.5">
      <c r="A249" s="238">
        <v>247</v>
      </c>
      <c r="B249" s="29" t="s">
        <v>464</v>
      </c>
      <c r="C249" s="39" t="s">
        <v>314</v>
      </c>
      <c r="D249" s="39">
        <v>42</v>
      </c>
      <c r="E249" s="28" t="s">
        <v>465</v>
      </c>
      <c r="F249" s="181">
        <v>621306</v>
      </c>
      <c r="G249" s="7" t="s">
        <v>11</v>
      </c>
      <c r="H249" s="78"/>
      <c r="I249" s="9" t="s">
        <v>935</v>
      </c>
    </row>
    <row r="250" spans="1:9" ht="78.75">
      <c r="A250" s="238">
        <v>248</v>
      </c>
      <c r="B250" s="29" t="s">
        <v>464</v>
      </c>
      <c r="C250" s="37" t="s">
        <v>324</v>
      </c>
      <c r="D250" s="37">
        <v>26</v>
      </c>
      <c r="E250" s="40" t="s">
        <v>466</v>
      </c>
      <c r="F250" s="176" t="s">
        <v>467</v>
      </c>
      <c r="G250" s="7" t="s">
        <v>11</v>
      </c>
      <c r="H250" s="78"/>
      <c r="I250" s="9" t="s">
        <v>935</v>
      </c>
    </row>
    <row r="251" spans="1:9" ht="63">
      <c r="A251" s="238">
        <v>249</v>
      </c>
      <c r="B251" s="29" t="s">
        <v>464</v>
      </c>
      <c r="C251" s="37" t="s">
        <v>324</v>
      </c>
      <c r="D251" s="37" t="s">
        <v>468</v>
      </c>
      <c r="E251" s="40" t="s">
        <v>469</v>
      </c>
      <c r="F251" s="176" t="s">
        <v>470</v>
      </c>
      <c r="G251" s="7" t="s">
        <v>11</v>
      </c>
      <c r="H251" s="78"/>
      <c r="I251" s="9" t="s">
        <v>935</v>
      </c>
    </row>
    <row r="252" spans="1:9" ht="94.5">
      <c r="A252" s="238">
        <v>250</v>
      </c>
      <c r="B252" s="29" t="s">
        <v>464</v>
      </c>
      <c r="C252" s="37" t="s">
        <v>324</v>
      </c>
      <c r="D252" s="37" t="s">
        <v>471</v>
      </c>
      <c r="E252" s="40" t="s">
        <v>472</v>
      </c>
      <c r="F252" s="176" t="s">
        <v>473</v>
      </c>
      <c r="G252" s="7" t="s">
        <v>11</v>
      </c>
      <c r="H252" s="78"/>
      <c r="I252" s="9" t="s">
        <v>935</v>
      </c>
    </row>
    <row r="253" spans="1:9" ht="66">
      <c r="A253" s="238">
        <v>251</v>
      </c>
      <c r="B253" s="29" t="s">
        <v>474</v>
      </c>
      <c r="C253" s="27" t="s">
        <v>157</v>
      </c>
      <c r="D253" s="31">
        <v>1</v>
      </c>
      <c r="E253" s="29" t="s">
        <v>475</v>
      </c>
      <c r="F253" s="30">
        <v>587557</v>
      </c>
      <c r="G253" s="7" t="s">
        <v>11</v>
      </c>
      <c r="H253" s="78"/>
      <c r="I253" s="9" t="s">
        <v>935</v>
      </c>
    </row>
    <row r="254" spans="1:9" ht="49.5">
      <c r="A254" s="238">
        <v>252</v>
      </c>
      <c r="B254" s="29" t="s">
        <v>476</v>
      </c>
      <c r="C254" s="37" t="s">
        <v>153</v>
      </c>
      <c r="D254" s="37">
        <v>4</v>
      </c>
      <c r="E254" s="28" t="s">
        <v>477</v>
      </c>
      <c r="F254" s="182">
        <v>875217</v>
      </c>
      <c r="G254" s="7" t="s">
        <v>11</v>
      </c>
      <c r="H254" s="78"/>
      <c r="I254" s="9" t="s">
        <v>935</v>
      </c>
    </row>
    <row r="255" spans="1:9" ht="66">
      <c r="A255" s="238">
        <v>253</v>
      </c>
      <c r="B255" s="29" t="s">
        <v>476</v>
      </c>
      <c r="C255" s="37" t="s">
        <v>153</v>
      </c>
      <c r="D255" s="35">
        <v>7</v>
      </c>
      <c r="E255" s="28" t="s">
        <v>478</v>
      </c>
      <c r="F255" s="182">
        <v>281816</v>
      </c>
      <c r="G255" s="7" t="s">
        <v>11</v>
      </c>
      <c r="H255" s="78"/>
      <c r="I255" s="9" t="s">
        <v>935</v>
      </c>
    </row>
    <row r="256" spans="1:9" ht="49.5">
      <c r="A256" s="238">
        <v>254</v>
      </c>
      <c r="B256" s="29" t="s">
        <v>476</v>
      </c>
      <c r="C256" s="37" t="s">
        <v>306</v>
      </c>
      <c r="D256" s="37">
        <v>6</v>
      </c>
      <c r="E256" s="40" t="s">
        <v>479</v>
      </c>
      <c r="F256" s="182">
        <v>101560121</v>
      </c>
      <c r="G256" s="7" t="s">
        <v>11</v>
      </c>
      <c r="H256" s="78"/>
      <c r="I256" s="9" t="s">
        <v>935</v>
      </c>
    </row>
    <row r="257" spans="1:9" ht="49.5">
      <c r="A257" s="238">
        <v>255</v>
      </c>
      <c r="B257" s="29" t="s">
        <v>476</v>
      </c>
      <c r="C257" s="37" t="s">
        <v>264</v>
      </c>
      <c r="D257" s="37">
        <v>4</v>
      </c>
      <c r="E257" s="40" t="s">
        <v>480</v>
      </c>
      <c r="F257" s="182">
        <v>70200</v>
      </c>
      <c r="G257" s="7" t="s">
        <v>11</v>
      </c>
      <c r="H257" s="78"/>
      <c r="I257" s="9" t="s">
        <v>935</v>
      </c>
    </row>
    <row r="258" spans="1:9" ht="63">
      <c r="A258" s="238">
        <v>256</v>
      </c>
      <c r="B258" s="29" t="s">
        <v>476</v>
      </c>
      <c r="C258" s="37" t="s">
        <v>481</v>
      </c>
      <c r="D258" s="37">
        <v>6</v>
      </c>
      <c r="E258" s="40" t="s">
        <v>482</v>
      </c>
      <c r="F258" s="182">
        <v>210000</v>
      </c>
      <c r="G258" s="7" t="s">
        <v>11</v>
      </c>
      <c r="H258" s="78"/>
      <c r="I258" s="9" t="s">
        <v>935</v>
      </c>
    </row>
    <row r="259" spans="1:9" ht="49.5">
      <c r="A259" s="238">
        <v>257</v>
      </c>
      <c r="B259" s="29" t="s">
        <v>483</v>
      </c>
      <c r="C259" s="37" t="s">
        <v>484</v>
      </c>
      <c r="D259" s="35">
        <v>2</v>
      </c>
      <c r="E259" s="28" t="s">
        <v>485</v>
      </c>
      <c r="F259" s="182">
        <v>2566629</v>
      </c>
      <c r="G259" s="7" t="s">
        <v>11</v>
      </c>
      <c r="H259" s="78"/>
      <c r="I259" s="9" t="s">
        <v>935</v>
      </c>
    </row>
    <row r="260" spans="1:9" ht="49.5">
      <c r="A260" s="238">
        <v>258</v>
      </c>
      <c r="B260" s="29" t="s">
        <v>483</v>
      </c>
      <c r="C260" s="37" t="s">
        <v>102</v>
      </c>
      <c r="D260" s="37">
        <v>4</v>
      </c>
      <c r="E260" s="28" t="s">
        <v>486</v>
      </c>
      <c r="F260" s="182">
        <v>1924070</v>
      </c>
      <c r="G260" s="7" t="s">
        <v>11</v>
      </c>
      <c r="H260" s="78"/>
      <c r="I260" s="9" t="s">
        <v>935</v>
      </c>
    </row>
    <row r="261" spans="1:9" ht="49.5">
      <c r="A261" s="238">
        <v>259</v>
      </c>
      <c r="B261" s="28" t="s">
        <v>483</v>
      </c>
      <c r="C261" s="37" t="s">
        <v>338</v>
      </c>
      <c r="D261" s="37" t="s">
        <v>487</v>
      </c>
      <c r="E261" s="40" t="s">
        <v>488</v>
      </c>
      <c r="F261" s="182">
        <v>6023646</v>
      </c>
      <c r="G261" s="7" t="s">
        <v>11</v>
      </c>
      <c r="H261" s="78"/>
      <c r="I261" s="9" t="s">
        <v>935</v>
      </c>
    </row>
    <row r="262" spans="1:9" ht="49.5">
      <c r="A262" s="238">
        <v>260</v>
      </c>
      <c r="B262" s="28" t="s">
        <v>483</v>
      </c>
      <c r="C262" s="37" t="s">
        <v>489</v>
      </c>
      <c r="D262" s="37" t="s">
        <v>490</v>
      </c>
      <c r="E262" s="40" t="s">
        <v>491</v>
      </c>
      <c r="F262" s="182">
        <v>1450011</v>
      </c>
      <c r="G262" s="7" t="s">
        <v>11</v>
      </c>
      <c r="H262" s="78"/>
      <c r="I262" s="9" t="s">
        <v>935</v>
      </c>
    </row>
    <row r="263" spans="1:9" ht="49.5">
      <c r="A263" s="238">
        <v>261</v>
      </c>
      <c r="B263" s="29" t="s">
        <v>483</v>
      </c>
      <c r="C263" s="37" t="s">
        <v>489</v>
      </c>
      <c r="D263" s="37" t="s">
        <v>492</v>
      </c>
      <c r="E263" s="40" t="s">
        <v>493</v>
      </c>
      <c r="F263" s="182">
        <v>1036132</v>
      </c>
      <c r="G263" s="7" t="s">
        <v>11</v>
      </c>
      <c r="H263" s="78"/>
      <c r="I263" s="9" t="s">
        <v>935</v>
      </c>
    </row>
    <row r="264" spans="1:9" ht="78.75">
      <c r="A264" s="238">
        <v>262</v>
      </c>
      <c r="B264" s="29" t="s">
        <v>483</v>
      </c>
      <c r="C264" s="37" t="s">
        <v>489</v>
      </c>
      <c r="D264" s="37" t="s">
        <v>494</v>
      </c>
      <c r="E264" s="40" t="s">
        <v>495</v>
      </c>
      <c r="F264" s="182">
        <v>27025472</v>
      </c>
      <c r="G264" s="7" t="s">
        <v>11</v>
      </c>
      <c r="H264" s="78"/>
      <c r="I264" s="9" t="s">
        <v>935</v>
      </c>
    </row>
    <row r="265" spans="1:9" ht="49.5">
      <c r="A265" s="238">
        <v>263</v>
      </c>
      <c r="B265" s="29" t="s">
        <v>483</v>
      </c>
      <c r="C265" s="37" t="s">
        <v>489</v>
      </c>
      <c r="D265" s="37" t="s">
        <v>496</v>
      </c>
      <c r="E265" s="40" t="s">
        <v>497</v>
      </c>
      <c r="F265" s="182">
        <v>924692</v>
      </c>
      <c r="G265" s="7" t="s">
        <v>11</v>
      </c>
      <c r="H265" s="78"/>
      <c r="I265" s="9" t="s">
        <v>935</v>
      </c>
    </row>
    <row r="266" spans="1:9" ht="49.5">
      <c r="A266" s="238">
        <v>264</v>
      </c>
      <c r="B266" s="29" t="s">
        <v>498</v>
      </c>
      <c r="C266" s="39" t="s">
        <v>444</v>
      </c>
      <c r="D266" s="39" t="s">
        <v>448</v>
      </c>
      <c r="E266" s="28" t="s">
        <v>499</v>
      </c>
      <c r="F266" s="43" t="s">
        <v>500</v>
      </c>
      <c r="G266" s="7" t="s">
        <v>11</v>
      </c>
      <c r="H266" s="78"/>
      <c r="I266" s="9" t="s">
        <v>935</v>
      </c>
    </row>
    <row r="267" spans="1:9" ht="47.25">
      <c r="A267" s="238">
        <v>265</v>
      </c>
      <c r="B267" s="29" t="s">
        <v>501</v>
      </c>
      <c r="C267" s="37" t="s">
        <v>314</v>
      </c>
      <c r="D267" s="37">
        <v>41</v>
      </c>
      <c r="E267" s="40" t="s">
        <v>502</v>
      </c>
      <c r="F267" s="182">
        <v>2635447</v>
      </c>
      <c r="G267" s="7" t="s">
        <v>11</v>
      </c>
      <c r="H267" s="78"/>
      <c r="I267" s="9" t="s">
        <v>935</v>
      </c>
    </row>
    <row r="268" spans="1:9" ht="82.5">
      <c r="A268" s="238">
        <v>266</v>
      </c>
      <c r="B268" s="29" t="s">
        <v>501</v>
      </c>
      <c r="C268" s="37" t="s">
        <v>324</v>
      </c>
      <c r="D268" s="37">
        <v>35</v>
      </c>
      <c r="E268" s="28" t="s">
        <v>503</v>
      </c>
      <c r="F268" s="176" t="s">
        <v>504</v>
      </c>
      <c r="G268" s="7" t="s">
        <v>11</v>
      </c>
      <c r="H268" s="78"/>
      <c r="I268" s="9" t="s">
        <v>935</v>
      </c>
    </row>
    <row r="269" spans="1:9" ht="66">
      <c r="A269" s="238">
        <v>267</v>
      </c>
      <c r="B269" s="29" t="s">
        <v>501</v>
      </c>
      <c r="C269" s="37" t="s">
        <v>324</v>
      </c>
      <c r="D269" s="37">
        <v>36</v>
      </c>
      <c r="E269" s="28" t="s">
        <v>505</v>
      </c>
      <c r="F269" s="176" t="s">
        <v>506</v>
      </c>
      <c r="G269" s="7" t="s">
        <v>11</v>
      </c>
      <c r="H269" s="78"/>
      <c r="I269" s="9" t="s">
        <v>935</v>
      </c>
    </row>
    <row r="270" spans="1:9" ht="49.5">
      <c r="A270" s="238">
        <v>268</v>
      </c>
      <c r="B270" s="29" t="s">
        <v>501</v>
      </c>
      <c r="C270" s="37" t="s">
        <v>324</v>
      </c>
      <c r="D270" s="37">
        <v>40</v>
      </c>
      <c r="E270" s="28" t="s">
        <v>507</v>
      </c>
      <c r="F270" s="176" t="s">
        <v>508</v>
      </c>
      <c r="G270" s="7" t="s">
        <v>11</v>
      </c>
      <c r="H270" s="78"/>
      <c r="I270" s="9" t="s">
        <v>935</v>
      </c>
    </row>
    <row r="271" spans="1:9" ht="66">
      <c r="A271" s="238">
        <v>269</v>
      </c>
      <c r="B271" s="28" t="s">
        <v>509</v>
      </c>
      <c r="C271" s="37" t="s">
        <v>135</v>
      </c>
      <c r="D271" s="37" t="s">
        <v>440</v>
      </c>
      <c r="E271" s="28" t="s">
        <v>510</v>
      </c>
      <c r="F271" s="176" t="s">
        <v>511</v>
      </c>
      <c r="G271" s="7" t="s">
        <v>11</v>
      </c>
      <c r="H271" s="78"/>
      <c r="I271" s="9" t="s">
        <v>935</v>
      </c>
    </row>
    <row r="272" spans="1:9" ht="33">
      <c r="A272" s="238">
        <v>270</v>
      </c>
      <c r="B272" s="28" t="s">
        <v>509</v>
      </c>
      <c r="C272" s="37" t="s">
        <v>512</v>
      </c>
      <c r="D272" s="37" t="s">
        <v>513</v>
      </c>
      <c r="E272" s="28" t="s">
        <v>514</v>
      </c>
      <c r="F272" s="176" t="s">
        <v>515</v>
      </c>
      <c r="G272" s="7" t="s">
        <v>11</v>
      </c>
      <c r="H272" s="78"/>
      <c r="I272" s="9" t="s">
        <v>935</v>
      </c>
    </row>
    <row r="273" spans="1:9" ht="33">
      <c r="A273" s="238">
        <v>271</v>
      </c>
      <c r="B273" s="28" t="s">
        <v>509</v>
      </c>
      <c r="C273" s="37" t="s">
        <v>516</v>
      </c>
      <c r="D273" s="37" t="s">
        <v>440</v>
      </c>
      <c r="E273" s="28" t="s">
        <v>517</v>
      </c>
      <c r="F273" s="176" t="s">
        <v>518</v>
      </c>
      <c r="G273" s="7" t="s">
        <v>11</v>
      </c>
      <c r="H273" s="78"/>
      <c r="I273" s="9" t="s">
        <v>935</v>
      </c>
    </row>
    <row r="274" spans="1:9" ht="33">
      <c r="A274" s="238">
        <v>272</v>
      </c>
      <c r="B274" s="28" t="s">
        <v>519</v>
      </c>
      <c r="C274" s="39" t="s">
        <v>520</v>
      </c>
      <c r="D274" s="39" t="s">
        <v>448</v>
      </c>
      <c r="E274" s="28" t="s">
        <v>521</v>
      </c>
      <c r="F274" s="43" t="s">
        <v>522</v>
      </c>
      <c r="G274" s="7" t="s">
        <v>11</v>
      </c>
      <c r="H274" s="78"/>
      <c r="I274" s="9" t="s">
        <v>935</v>
      </c>
    </row>
    <row r="275" spans="1:9" ht="66">
      <c r="A275" s="238">
        <v>273</v>
      </c>
      <c r="B275" s="28" t="s">
        <v>519</v>
      </c>
      <c r="C275" s="39" t="s">
        <v>523</v>
      </c>
      <c r="D275" s="39" t="s">
        <v>440</v>
      </c>
      <c r="E275" s="28" t="s">
        <v>524</v>
      </c>
      <c r="F275" s="43" t="s">
        <v>525</v>
      </c>
      <c r="G275" s="7" t="s">
        <v>11</v>
      </c>
      <c r="H275" s="78"/>
      <c r="I275" s="9" t="s">
        <v>935</v>
      </c>
    </row>
    <row r="276" spans="1:9" ht="115.5">
      <c r="A276" s="238">
        <v>274</v>
      </c>
      <c r="B276" s="28" t="s">
        <v>519</v>
      </c>
      <c r="C276" s="39" t="s">
        <v>256</v>
      </c>
      <c r="D276" s="39" t="s">
        <v>513</v>
      </c>
      <c r="E276" s="28" t="s">
        <v>526</v>
      </c>
      <c r="F276" s="43" t="s">
        <v>527</v>
      </c>
      <c r="G276" s="7" t="s">
        <v>11</v>
      </c>
      <c r="H276" s="78"/>
      <c r="I276" s="9" t="s">
        <v>935</v>
      </c>
    </row>
    <row r="277" spans="1:9" ht="49.5">
      <c r="A277" s="238">
        <v>275</v>
      </c>
      <c r="B277" s="28" t="s">
        <v>519</v>
      </c>
      <c r="C277" s="39" t="s">
        <v>256</v>
      </c>
      <c r="D277" s="39" t="s">
        <v>528</v>
      </c>
      <c r="E277" s="28" t="s">
        <v>529</v>
      </c>
      <c r="F277" s="43" t="s">
        <v>530</v>
      </c>
      <c r="G277" s="7" t="s">
        <v>11</v>
      </c>
      <c r="H277" s="78"/>
      <c r="I277" s="9" t="s">
        <v>935</v>
      </c>
    </row>
    <row r="278" spans="1:9" ht="49.5">
      <c r="A278" s="238">
        <v>276</v>
      </c>
      <c r="B278" s="28" t="s">
        <v>519</v>
      </c>
      <c r="C278" s="39" t="s">
        <v>256</v>
      </c>
      <c r="D278" s="39" t="s">
        <v>531</v>
      </c>
      <c r="E278" s="28" t="s">
        <v>532</v>
      </c>
      <c r="F278" s="43" t="s">
        <v>533</v>
      </c>
      <c r="G278" s="7" t="s">
        <v>11</v>
      </c>
      <c r="H278" s="78"/>
      <c r="I278" s="9" t="s">
        <v>935</v>
      </c>
    </row>
    <row r="279" spans="1:9" ht="33">
      <c r="A279" s="238">
        <v>277</v>
      </c>
      <c r="B279" s="28" t="s">
        <v>519</v>
      </c>
      <c r="C279" s="39" t="s">
        <v>534</v>
      </c>
      <c r="D279" s="39" t="s">
        <v>531</v>
      </c>
      <c r="E279" s="28" t="s">
        <v>535</v>
      </c>
      <c r="F279" s="43" t="s">
        <v>536</v>
      </c>
      <c r="G279" s="7" t="s">
        <v>11</v>
      </c>
      <c r="H279" s="78"/>
      <c r="I279" s="9" t="s">
        <v>935</v>
      </c>
    </row>
    <row r="280" spans="1:9" ht="33">
      <c r="A280" s="238">
        <v>278</v>
      </c>
      <c r="B280" s="28" t="s">
        <v>519</v>
      </c>
      <c r="C280" s="39" t="s">
        <v>537</v>
      </c>
      <c r="D280" s="39" t="s">
        <v>538</v>
      </c>
      <c r="E280" s="28" t="s">
        <v>539</v>
      </c>
      <c r="F280" s="43" t="s">
        <v>540</v>
      </c>
      <c r="G280" s="7" t="s">
        <v>11</v>
      </c>
      <c r="H280" s="78"/>
      <c r="I280" s="9" t="s">
        <v>935</v>
      </c>
    </row>
    <row r="281" spans="1:9" ht="66">
      <c r="A281" s="238">
        <v>279</v>
      </c>
      <c r="B281" s="28" t="s">
        <v>519</v>
      </c>
      <c r="C281" s="39" t="s">
        <v>9</v>
      </c>
      <c r="D281" s="38">
        <v>28</v>
      </c>
      <c r="E281" s="28" t="s">
        <v>541</v>
      </c>
      <c r="F281" s="185">
        <v>7955691</v>
      </c>
      <c r="G281" s="7" t="s">
        <v>11</v>
      </c>
      <c r="H281" s="78"/>
      <c r="I281" s="9" t="s">
        <v>935</v>
      </c>
    </row>
    <row r="282" spans="1:9" ht="66">
      <c r="A282" s="238">
        <v>280</v>
      </c>
      <c r="B282" s="28" t="s">
        <v>519</v>
      </c>
      <c r="C282" s="39" t="s">
        <v>9</v>
      </c>
      <c r="D282" s="38">
        <v>37</v>
      </c>
      <c r="E282" s="28" t="s">
        <v>542</v>
      </c>
      <c r="F282" s="43" t="s">
        <v>543</v>
      </c>
      <c r="G282" s="7" t="s">
        <v>11</v>
      </c>
      <c r="H282" s="78"/>
      <c r="I282" s="9" t="s">
        <v>935</v>
      </c>
    </row>
    <row r="283" spans="1:9" ht="49.5">
      <c r="A283" s="238">
        <v>281</v>
      </c>
      <c r="B283" s="29" t="s">
        <v>544</v>
      </c>
      <c r="C283" s="37" t="s">
        <v>545</v>
      </c>
      <c r="D283" s="35">
        <v>5</v>
      </c>
      <c r="E283" s="28" t="s">
        <v>546</v>
      </c>
      <c r="F283" s="182">
        <v>711667</v>
      </c>
      <c r="G283" s="7" t="s">
        <v>11</v>
      </c>
      <c r="H283" s="78"/>
      <c r="I283" s="9" t="s">
        <v>935</v>
      </c>
    </row>
    <row r="284" spans="1:9" ht="49.5">
      <c r="A284" s="238">
        <v>282</v>
      </c>
      <c r="B284" s="29" t="s">
        <v>544</v>
      </c>
      <c r="C284" s="37" t="s">
        <v>547</v>
      </c>
      <c r="D284" s="37">
        <v>1</v>
      </c>
      <c r="E284" s="40" t="s">
        <v>548</v>
      </c>
      <c r="F284" s="182">
        <v>1477356</v>
      </c>
      <c r="G284" s="7" t="s">
        <v>11</v>
      </c>
      <c r="H284" s="78"/>
      <c r="I284" s="9" t="s">
        <v>935</v>
      </c>
    </row>
    <row r="285" spans="1:9" ht="49.5">
      <c r="A285" s="238">
        <v>283</v>
      </c>
      <c r="B285" s="29" t="s">
        <v>544</v>
      </c>
      <c r="C285" s="37" t="s">
        <v>549</v>
      </c>
      <c r="D285" s="37">
        <v>1</v>
      </c>
      <c r="E285" s="42" t="s">
        <v>550</v>
      </c>
      <c r="F285" s="182">
        <v>710096</v>
      </c>
      <c r="G285" s="7" t="s">
        <v>11</v>
      </c>
      <c r="H285" s="78"/>
      <c r="I285" s="9" t="s">
        <v>935</v>
      </c>
    </row>
    <row r="286" spans="1:9" ht="49.5">
      <c r="A286" s="238">
        <v>284</v>
      </c>
      <c r="B286" s="29" t="s">
        <v>544</v>
      </c>
      <c r="C286" s="37" t="s">
        <v>549</v>
      </c>
      <c r="D286" s="37">
        <v>3</v>
      </c>
      <c r="E286" s="40" t="s">
        <v>551</v>
      </c>
      <c r="F286" s="182">
        <v>148084</v>
      </c>
      <c r="G286" s="7" t="s">
        <v>11</v>
      </c>
      <c r="H286" s="78"/>
      <c r="I286" s="9" t="s">
        <v>935</v>
      </c>
    </row>
    <row r="287" spans="1:9" ht="49.5">
      <c r="A287" s="238">
        <v>285</v>
      </c>
      <c r="B287" s="29" t="s">
        <v>544</v>
      </c>
      <c r="C287" s="37" t="s">
        <v>274</v>
      </c>
      <c r="D287" s="37" t="s">
        <v>552</v>
      </c>
      <c r="E287" s="40" t="s">
        <v>553</v>
      </c>
      <c r="F287" s="175" t="s">
        <v>554</v>
      </c>
      <c r="G287" s="7" t="s">
        <v>11</v>
      </c>
      <c r="H287" s="78"/>
      <c r="I287" s="9" t="s">
        <v>935</v>
      </c>
    </row>
    <row r="288" spans="1:9" ht="78.75">
      <c r="A288" s="238">
        <v>286</v>
      </c>
      <c r="B288" s="29" t="s">
        <v>544</v>
      </c>
      <c r="C288" s="37" t="s">
        <v>324</v>
      </c>
      <c r="D288" s="37" t="s">
        <v>555</v>
      </c>
      <c r="E288" s="40" t="s">
        <v>556</v>
      </c>
      <c r="F288" s="175" t="s">
        <v>557</v>
      </c>
      <c r="G288" s="7" t="s">
        <v>11</v>
      </c>
      <c r="H288" s="78"/>
      <c r="I288" s="9" t="s">
        <v>935</v>
      </c>
    </row>
    <row r="289" spans="1:9" ht="49.5">
      <c r="A289" s="238">
        <v>287</v>
      </c>
      <c r="B289" s="29" t="s">
        <v>544</v>
      </c>
      <c r="C289" s="37" t="s">
        <v>324</v>
      </c>
      <c r="D289" s="37" t="s">
        <v>558</v>
      </c>
      <c r="E289" s="40" t="s">
        <v>559</v>
      </c>
      <c r="F289" s="176" t="s">
        <v>560</v>
      </c>
      <c r="G289" s="7" t="s">
        <v>11</v>
      </c>
      <c r="H289" s="78"/>
      <c r="I289" s="9" t="s">
        <v>935</v>
      </c>
    </row>
    <row r="290" spans="1:9" ht="66">
      <c r="A290" s="238">
        <v>288</v>
      </c>
      <c r="B290" s="29" t="s">
        <v>561</v>
      </c>
      <c r="C290" s="37" t="s">
        <v>317</v>
      </c>
      <c r="D290" s="37" t="s">
        <v>562</v>
      </c>
      <c r="E290" s="28" t="s">
        <v>563</v>
      </c>
      <c r="F290" s="182" t="s">
        <v>564</v>
      </c>
      <c r="G290" s="7" t="s">
        <v>11</v>
      </c>
      <c r="H290" s="78"/>
      <c r="I290" s="9" t="s">
        <v>935</v>
      </c>
    </row>
    <row r="291" spans="1:9" ht="63">
      <c r="A291" s="238">
        <v>289</v>
      </c>
      <c r="B291" s="29" t="s">
        <v>561</v>
      </c>
      <c r="C291" s="37" t="s">
        <v>314</v>
      </c>
      <c r="D291" s="37">
        <v>4</v>
      </c>
      <c r="E291" s="40" t="s">
        <v>565</v>
      </c>
      <c r="F291" s="182" t="s">
        <v>566</v>
      </c>
      <c r="G291" s="7" t="s">
        <v>11</v>
      </c>
      <c r="H291" s="78"/>
      <c r="I291" s="9" t="s">
        <v>935</v>
      </c>
    </row>
    <row r="292" spans="1:9" ht="49.5">
      <c r="A292" s="238">
        <v>290</v>
      </c>
      <c r="B292" s="29" t="s">
        <v>561</v>
      </c>
      <c r="C292" s="37" t="s">
        <v>314</v>
      </c>
      <c r="D292" s="37">
        <v>5</v>
      </c>
      <c r="E292" s="40" t="s">
        <v>567</v>
      </c>
      <c r="F292" s="182" t="s">
        <v>568</v>
      </c>
      <c r="G292" s="7" t="s">
        <v>11</v>
      </c>
      <c r="H292" s="78"/>
      <c r="I292" s="9" t="s">
        <v>935</v>
      </c>
    </row>
    <row r="293" spans="1:9" ht="49.5">
      <c r="A293" s="238">
        <v>291</v>
      </c>
      <c r="B293" s="29" t="s">
        <v>561</v>
      </c>
      <c r="C293" s="37" t="s">
        <v>324</v>
      </c>
      <c r="D293" s="37" t="s">
        <v>569</v>
      </c>
      <c r="E293" s="40" t="s">
        <v>570</v>
      </c>
      <c r="F293" s="176" t="s">
        <v>571</v>
      </c>
      <c r="G293" s="7" t="s">
        <v>11</v>
      </c>
      <c r="H293" s="78"/>
      <c r="I293" s="9" t="s">
        <v>935</v>
      </c>
    </row>
    <row r="294" spans="1:9" ht="49.5">
      <c r="A294" s="238">
        <v>292</v>
      </c>
      <c r="B294" s="29" t="s">
        <v>572</v>
      </c>
      <c r="C294" s="37" t="s">
        <v>274</v>
      </c>
      <c r="D294" s="37" t="s">
        <v>573</v>
      </c>
      <c r="E294" s="40" t="s">
        <v>574</v>
      </c>
      <c r="F294" s="176" t="s">
        <v>575</v>
      </c>
      <c r="G294" s="7" t="s">
        <v>11</v>
      </c>
      <c r="H294" s="78"/>
      <c r="I294" s="9" t="s">
        <v>935</v>
      </c>
    </row>
    <row r="295" spans="1:9" ht="110.25">
      <c r="A295" s="238">
        <v>293</v>
      </c>
      <c r="B295" s="29" t="s">
        <v>572</v>
      </c>
      <c r="C295" s="37" t="s">
        <v>274</v>
      </c>
      <c r="D295" s="37" t="s">
        <v>576</v>
      </c>
      <c r="E295" s="40" t="s">
        <v>577</v>
      </c>
      <c r="F295" s="176" t="s">
        <v>578</v>
      </c>
      <c r="G295" s="7" t="s">
        <v>11</v>
      </c>
      <c r="H295" s="78"/>
      <c r="I295" s="9" t="s">
        <v>935</v>
      </c>
    </row>
    <row r="296" spans="1:9" ht="94.5">
      <c r="A296" s="238">
        <v>294</v>
      </c>
      <c r="B296" s="29" t="s">
        <v>572</v>
      </c>
      <c r="C296" s="37" t="s">
        <v>274</v>
      </c>
      <c r="D296" s="37">
        <v>11</v>
      </c>
      <c r="E296" s="40" t="s">
        <v>579</v>
      </c>
      <c r="F296" s="176" t="s">
        <v>580</v>
      </c>
      <c r="G296" s="7" t="s">
        <v>11</v>
      </c>
      <c r="H296" s="78"/>
      <c r="I296" s="9" t="s">
        <v>935</v>
      </c>
    </row>
    <row r="297" spans="1:9" ht="49.5">
      <c r="A297" s="238">
        <v>295</v>
      </c>
      <c r="B297" s="29" t="s">
        <v>572</v>
      </c>
      <c r="C297" s="37" t="s">
        <v>314</v>
      </c>
      <c r="D297" s="37" t="s">
        <v>581</v>
      </c>
      <c r="E297" s="40" t="s">
        <v>582</v>
      </c>
      <c r="F297" s="182" t="s">
        <v>583</v>
      </c>
      <c r="G297" s="7" t="s">
        <v>11</v>
      </c>
      <c r="H297" s="78"/>
      <c r="I297" s="9" t="s">
        <v>935</v>
      </c>
    </row>
    <row r="298" spans="1:9" ht="78.75">
      <c r="A298" s="238">
        <v>296</v>
      </c>
      <c r="B298" s="29" t="s">
        <v>572</v>
      </c>
      <c r="C298" s="37" t="s">
        <v>314</v>
      </c>
      <c r="D298" s="39">
        <v>13</v>
      </c>
      <c r="E298" s="40" t="s">
        <v>584</v>
      </c>
      <c r="F298" s="181" t="s">
        <v>585</v>
      </c>
      <c r="G298" s="7" t="s">
        <v>11</v>
      </c>
      <c r="H298" s="78"/>
      <c r="I298" s="9" t="s">
        <v>935</v>
      </c>
    </row>
    <row r="299" spans="1:9" ht="78.75">
      <c r="A299" s="238">
        <v>297</v>
      </c>
      <c r="B299" s="29" t="s">
        <v>572</v>
      </c>
      <c r="C299" s="37" t="s">
        <v>314</v>
      </c>
      <c r="D299" s="39" t="s">
        <v>586</v>
      </c>
      <c r="E299" s="40" t="s">
        <v>587</v>
      </c>
      <c r="F299" s="181" t="s">
        <v>588</v>
      </c>
      <c r="G299" s="7" t="s">
        <v>11</v>
      </c>
      <c r="H299" s="78"/>
      <c r="I299" s="9" t="s">
        <v>935</v>
      </c>
    </row>
    <row r="300" spans="1:9" ht="99">
      <c r="A300" s="238">
        <v>298</v>
      </c>
      <c r="B300" s="29" t="s">
        <v>572</v>
      </c>
      <c r="C300" s="37" t="s">
        <v>324</v>
      </c>
      <c r="D300" s="37">
        <v>3</v>
      </c>
      <c r="E300" s="28" t="s">
        <v>589</v>
      </c>
      <c r="F300" s="176" t="s">
        <v>590</v>
      </c>
      <c r="G300" s="7" t="s">
        <v>11</v>
      </c>
      <c r="H300" s="78"/>
      <c r="I300" s="9" t="s">
        <v>935</v>
      </c>
    </row>
    <row r="301" spans="1:9" ht="99">
      <c r="A301" s="238">
        <v>299</v>
      </c>
      <c r="B301" s="29" t="s">
        <v>572</v>
      </c>
      <c r="C301" s="37" t="s">
        <v>324</v>
      </c>
      <c r="D301" s="37">
        <v>5</v>
      </c>
      <c r="E301" s="28" t="s">
        <v>591</v>
      </c>
      <c r="F301" s="176" t="s">
        <v>592</v>
      </c>
      <c r="G301" s="7" t="s">
        <v>11</v>
      </c>
      <c r="H301" s="78"/>
      <c r="I301" s="9" t="s">
        <v>935</v>
      </c>
    </row>
    <row r="302" spans="1:9" ht="82.5">
      <c r="A302" s="238">
        <v>300</v>
      </c>
      <c r="B302" s="29" t="s">
        <v>572</v>
      </c>
      <c r="C302" s="37" t="s">
        <v>324</v>
      </c>
      <c r="D302" s="37">
        <v>13</v>
      </c>
      <c r="E302" s="28" t="s">
        <v>593</v>
      </c>
      <c r="F302" s="176" t="s">
        <v>594</v>
      </c>
      <c r="G302" s="7" t="s">
        <v>11</v>
      </c>
      <c r="H302" s="78"/>
      <c r="I302" s="9" t="s">
        <v>935</v>
      </c>
    </row>
    <row r="303" spans="1:9" ht="82.5">
      <c r="A303" s="238">
        <v>301</v>
      </c>
      <c r="B303" s="29" t="s">
        <v>572</v>
      </c>
      <c r="C303" s="37" t="s">
        <v>324</v>
      </c>
      <c r="D303" s="37">
        <v>33</v>
      </c>
      <c r="E303" s="28" t="s">
        <v>595</v>
      </c>
      <c r="F303" s="176" t="s">
        <v>596</v>
      </c>
      <c r="G303" s="7" t="s">
        <v>11</v>
      </c>
      <c r="H303" s="78"/>
      <c r="I303" s="9" t="s">
        <v>935</v>
      </c>
    </row>
    <row r="304" spans="1:9" ht="99">
      <c r="A304" s="238">
        <v>302</v>
      </c>
      <c r="B304" s="29" t="s">
        <v>572</v>
      </c>
      <c r="C304" s="37" t="s">
        <v>324</v>
      </c>
      <c r="D304" s="37">
        <v>38</v>
      </c>
      <c r="E304" s="28" t="s">
        <v>597</v>
      </c>
      <c r="F304" s="176" t="s">
        <v>598</v>
      </c>
      <c r="G304" s="7" t="s">
        <v>11</v>
      </c>
      <c r="H304" s="78"/>
      <c r="I304" s="9" t="s">
        <v>935</v>
      </c>
    </row>
    <row r="305" spans="1:9" ht="49.5">
      <c r="A305" s="238">
        <v>303</v>
      </c>
      <c r="B305" s="29" t="s">
        <v>599</v>
      </c>
      <c r="C305" s="37" t="s">
        <v>600</v>
      </c>
      <c r="D305" s="37">
        <v>1</v>
      </c>
      <c r="E305" s="28" t="s">
        <v>601</v>
      </c>
      <c r="F305" s="182">
        <v>765204</v>
      </c>
      <c r="G305" s="7" t="s">
        <v>11</v>
      </c>
      <c r="H305" s="78"/>
      <c r="I305" s="9" t="s">
        <v>935</v>
      </c>
    </row>
    <row r="306" spans="1:9" ht="99">
      <c r="A306" s="238">
        <v>304</v>
      </c>
      <c r="B306" s="29" t="s">
        <v>276</v>
      </c>
      <c r="C306" s="39" t="s">
        <v>602</v>
      </c>
      <c r="D306" s="39" t="s">
        <v>603</v>
      </c>
      <c r="E306" s="36" t="s">
        <v>604</v>
      </c>
      <c r="F306" s="43" t="s">
        <v>605</v>
      </c>
      <c r="G306" s="7" t="s">
        <v>11</v>
      </c>
      <c r="H306" s="78"/>
      <c r="I306" s="9" t="s">
        <v>935</v>
      </c>
    </row>
    <row r="307" spans="1:9" ht="82.5">
      <c r="A307" s="238">
        <v>305</v>
      </c>
      <c r="B307" s="29" t="s">
        <v>276</v>
      </c>
      <c r="C307" s="39" t="s">
        <v>602</v>
      </c>
      <c r="D307" s="39">
        <v>5</v>
      </c>
      <c r="E307" s="28" t="s">
        <v>606</v>
      </c>
      <c r="F307" s="43" t="s">
        <v>607</v>
      </c>
      <c r="G307" s="7" t="s">
        <v>11</v>
      </c>
      <c r="H307" s="78"/>
      <c r="I307" s="9" t="s">
        <v>935</v>
      </c>
    </row>
    <row r="308" spans="1:9" ht="99">
      <c r="A308" s="238">
        <v>306</v>
      </c>
      <c r="B308" s="29" t="s">
        <v>276</v>
      </c>
      <c r="C308" s="39" t="s">
        <v>602</v>
      </c>
      <c r="D308" s="39" t="s">
        <v>608</v>
      </c>
      <c r="E308" s="28" t="s">
        <v>609</v>
      </c>
      <c r="F308" s="43" t="s">
        <v>610</v>
      </c>
      <c r="G308" s="7" t="s">
        <v>11</v>
      </c>
      <c r="H308" s="78"/>
      <c r="I308" s="9" t="s">
        <v>935</v>
      </c>
    </row>
    <row r="309" spans="1:9" ht="82.5">
      <c r="A309" s="238">
        <v>307</v>
      </c>
      <c r="B309" s="29" t="s">
        <v>276</v>
      </c>
      <c r="C309" s="39" t="s">
        <v>602</v>
      </c>
      <c r="D309" s="39" t="s">
        <v>611</v>
      </c>
      <c r="E309" s="28" t="s">
        <v>612</v>
      </c>
      <c r="F309" s="43" t="s">
        <v>613</v>
      </c>
      <c r="G309" s="7" t="s">
        <v>11</v>
      </c>
      <c r="H309" s="78"/>
      <c r="I309" s="9" t="s">
        <v>935</v>
      </c>
    </row>
    <row r="310" spans="1:9" ht="82.5">
      <c r="A310" s="238">
        <v>308</v>
      </c>
      <c r="B310" s="29" t="s">
        <v>276</v>
      </c>
      <c r="C310" s="39" t="s">
        <v>602</v>
      </c>
      <c r="D310" s="39" t="s">
        <v>614</v>
      </c>
      <c r="E310" s="28" t="s">
        <v>615</v>
      </c>
      <c r="F310" s="43" t="s">
        <v>616</v>
      </c>
      <c r="G310" s="7" t="s">
        <v>11</v>
      </c>
      <c r="H310" s="78"/>
      <c r="I310" s="9" t="s">
        <v>935</v>
      </c>
    </row>
    <row r="311" spans="1:9" ht="66">
      <c r="A311" s="238">
        <v>309</v>
      </c>
      <c r="B311" s="29" t="s">
        <v>276</v>
      </c>
      <c r="C311" s="39" t="s">
        <v>602</v>
      </c>
      <c r="D311" s="39" t="s">
        <v>617</v>
      </c>
      <c r="E311" s="28" t="s">
        <v>618</v>
      </c>
      <c r="F311" s="43" t="s">
        <v>619</v>
      </c>
      <c r="G311" s="7" t="s">
        <v>11</v>
      </c>
      <c r="H311" s="78"/>
      <c r="I311" s="9" t="s">
        <v>935</v>
      </c>
    </row>
    <row r="312" spans="1:9" ht="66">
      <c r="A312" s="238">
        <v>310</v>
      </c>
      <c r="B312" s="29" t="s">
        <v>276</v>
      </c>
      <c r="C312" s="39" t="s">
        <v>602</v>
      </c>
      <c r="D312" s="39" t="s">
        <v>620</v>
      </c>
      <c r="E312" s="28" t="s">
        <v>621</v>
      </c>
      <c r="F312" s="43">
        <v>0</v>
      </c>
      <c r="G312" s="7" t="s">
        <v>11</v>
      </c>
      <c r="H312" s="78"/>
      <c r="I312" s="9" t="s">
        <v>935</v>
      </c>
    </row>
    <row r="313" spans="1:9" ht="99">
      <c r="A313" s="238">
        <v>311</v>
      </c>
      <c r="B313" s="29" t="s">
        <v>572</v>
      </c>
      <c r="C313" s="39" t="s">
        <v>602</v>
      </c>
      <c r="D313" s="39" t="s">
        <v>622</v>
      </c>
      <c r="E313" s="36" t="s">
        <v>604</v>
      </c>
      <c r="F313" s="43" t="s">
        <v>623</v>
      </c>
      <c r="G313" s="7" t="s">
        <v>11</v>
      </c>
      <c r="H313" s="78"/>
      <c r="I313" s="9" t="s">
        <v>935</v>
      </c>
    </row>
    <row r="314" spans="1:9" ht="66">
      <c r="A314" s="238">
        <v>312</v>
      </c>
      <c r="B314" s="29" t="s">
        <v>572</v>
      </c>
      <c r="C314" s="39" t="s">
        <v>602</v>
      </c>
      <c r="D314" s="39">
        <v>23</v>
      </c>
      <c r="E314" s="28" t="s">
        <v>624</v>
      </c>
      <c r="F314" s="43" t="s">
        <v>625</v>
      </c>
      <c r="G314" s="7" t="s">
        <v>11</v>
      </c>
      <c r="H314" s="78"/>
      <c r="I314" s="9" t="s">
        <v>935</v>
      </c>
    </row>
    <row r="315" spans="1:9" ht="66">
      <c r="A315" s="238">
        <v>313</v>
      </c>
      <c r="B315" s="29" t="s">
        <v>572</v>
      </c>
      <c r="C315" s="39" t="s">
        <v>602</v>
      </c>
      <c r="D315" s="39" t="s">
        <v>626</v>
      </c>
      <c r="E315" s="28" t="s">
        <v>618</v>
      </c>
      <c r="F315" s="43" t="s">
        <v>627</v>
      </c>
      <c r="G315" s="7" t="s">
        <v>11</v>
      </c>
      <c r="H315" s="78"/>
      <c r="I315" s="9" t="s">
        <v>935</v>
      </c>
    </row>
    <row r="316" spans="1:9" ht="99">
      <c r="A316" s="238">
        <v>314</v>
      </c>
      <c r="B316" s="29" t="s">
        <v>572</v>
      </c>
      <c r="C316" s="39" t="s">
        <v>602</v>
      </c>
      <c r="D316" s="39">
        <v>41</v>
      </c>
      <c r="E316" s="28" t="s">
        <v>628</v>
      </c>
      <c r="F316" s="43" t="s">
        <v>629</v>
      </c>
      <c r="G316" s="7" t="s">
        <v>11</v>
      </c>
      <c r="H316" s="78"/>
      <c r="I316" s="9" t="s">
        <v>935</v>
      </c>
    </row>
    <row r="317" spans="1:9" ht="99">
      <c r="A317" s="238">
        <v>315</v>
      </c>
      <c r="B317" s="29" t="s">
        <v>464</v>
      </c>
      <c r="C317" s="39" t="s">
        <v>602</v>
      </c>
      <c r="D317" s="39" t="s">
        <v>630</v>
      </c>
      <c r="E317" s="28" t="s">
        <v>609</v>
      </c>
      <c r="F317" s="43" t="s">
        <v>631</v>
      </c>
      <c r="G317" s="7" t="s">
        <v>11</v>
      </c>
      <c r="H317" s="78"/>
      <c r="I317" s="9" t="s">
        <v>935</v>
      </c>
    </row>
    <row r="318" spans="1:9" ht="66">
      <c r="A318" s="238">
        <v>316</v>
      </c>
      <c r="B318" s="29" t="s">
        <v>464</v>
      </c>
      <c r="C318" s="39" t="s">
        <v>602</v>
      </c>
      <c r="D318" s="39" t="s">
        <v>632</v>
      </c>
      <c r="E318" s="28" t="s">
        <v>633</v>
      </c>
      <c r="F318" s="43" t="s">
        <v>634</v>
      </c>
      <c r="G318" s="7" t="s">
        <v>11</v>
      </c>
      <c r="H318" s="78"/>
      <c r="I318" s="9" t="s">
        <v>935</v>
      </c>
    </row>
    <row r="319" spans="1:9" ht="66">
      <c r="A319" s="238">
        <v>317</v>
      </c>
      <c r="B319" s="29" t="s">
        <v>464</v>
      </c>
      <c r="C319" s="39" t="s">
        <v>602</v>
      </c>
      <c r="D319" s="39" t="s">
        <v>635</v>
      </c>
      <c r="E319" s="28" t="s">
        <v>636</v>
      </c>
      <c r="F319" s="43" t="s">
        <v>637</v>
      </c>
      <c r="G319" s="7" t="s">
        <v>11</v>
      </c>
      <c r="H319" s="78"/>
      <c r="I319" s="9" t="s">
        <v>935</v>
      </c>
    </row>
    <row r="320" spans="1:9" ht="99">
      <c r="A320" s="238">
        <v>318</v>
      </c>
      <c r="B320" s="29" t="s">
        <v>337</v>
      </c>
      <c r="C320" s="39" t="s">
        <v>602</v>
      </c>
      <c r="D320" s="39" t="s">
        <v>638</v>
      </c>
      <c r="E320" s="28" t="s">
        <v>609</v>
      </c>
      <c r="F320" s="43" t="s">
        <v>639</v>
      </c>
      <c r="G320" s="7" t="s">
        <v>11</v>
      </c>
      <c r="H320" s="78"/>
      <c r="I320" s="9" t="s">
        <v>935</v>
      </c>
    </row>
    <row r="321" spans="1:9" ht="82.5">
      <c r="A321" s="238">
        <v>319</v>
      </c>
      <c r="B321" s="29" t="s">
        <v>337</v>
      </c>
      <c r="C321" s="39" t="s">
        <v>602</v>
      </c>
      <c r="D321" s="39">
        <v>9</v>
      </c>
      <c r="E321" s="28" t="s">
        <v>640</v>
      </c>
      <c r="F321" s="43" t="s">
        <v>641</v>
      </c>
      <c r="G321" s="7" t="s">
        <v>11</v>
      </c>
      <c r="H321" s="78"/>
      <c r="I321" s="9" t="s">
        <v>935</v>
      </c>
    </row>
    <row r="322" spans="1:9" ht="82.5">
      <c r="A322" s="238">
        <v>320</v>
      </c>
      <c r="B322" s="29" t="s">
        <v>337</v>
      </c>
      <c r="C322" s="39" t="s">
        <v>602</v>
      </c>
      <c r="D322" s="39" t="s">
        <v>642</v>
      </c>
      <c r="E322" s="28" t="s">
        <v>615</v>
      </c>
      <c r="F322" s="43" t="s">
        <v>643</v>
      </c>
      <c r="G322" s="7" t="s">
        <v>11</v>
      </c>
      <c r="H322" s="78"/>
      <c r="I322" s="9" t="s">
        <v>935</v>
      </c>
    </row>
    <row r="323" spans="1:9" ht="132">
      <c r="A323" s="238">
        <v>321</v>
      </c>
      <c r="B323" s="29" t="s">
        <v>337</v>
      </c>
      <c r="C323" s="39" t="s">
        <v>602</v>
      </c>
      <c r="D323" s="39" t="s">
        <v>644</v>
      </c>
      <c r="E323" s="28" t="s">
        <v>645</v>
      </c>
      <c r="F323" s="43" t="s">
        <v>646</v>
      </c>
      <c r="G323" s="7" t="s">
        <v>11</v>
      </c>
      <c r="H323" s="78"/>
      <c r="I323" s="9" t="s">
        <v>935</v>
      </c>
    </row>
    <row r="324" spans="1:9" ht="66">
      <c r="A324" s="238">
        <v>322</v>
      </c>
      <c r="B324" s="29" t="s">
        <v>337</v>
      </c>
      <c r="C324" s="39" t="s">
        <v>602</v>
      </c>
      <c r="D324" s="39" t="s">
        <v>647</v>
      </c>
      <c r="E324" s="28" t="s">
        <v>618</v>
      </c>
      <c r="F324" s="43" t="s">
        <v>648</v>
      </c>
      <c r="G324" s="7" t="s">
        <v>11</v>
      </c>
      <c r="H324" s="78"/>
      <c r="I324" s="9" t="s">
        <v>935</v>
      </c>
    </row>
    <row r="325" spans="1:9" ht="66">
      <c r="A325" s="238">
        <v>323</v>
      </c>
      <c r="B325" s="29" t="s">
        <v>337</v>
      </c>
      <c r="C325" s="39" t="s">
        <v>602</v>
      </c>
      <c r="D325" s="39" t="s">
        <v>649</v>
      </c>
      <c r="E325" s="28" t="s">
        <v>650</v>
      </c>
      <c r="F325" s="43" t="s">
        <v>651</v>
      </c>
      <c r="G325" s="7" t="s">
        <v>11</v>
      </c>
      <c r="H325" s="78"/>
      <c r="I325" s="9" t="s">
        <v>935</v>
      </c>
    </row>
    <row r="326" spans="1:9" ht="66">
      <c r="A326" s="238">
        <v>324</v>
      </c>
      <c r="B326" s="29" t="s">
        <v>337</v>
      </c>
      <c r="C326" s="39" t="s">
        <v>602</v>
      </c>
      <c r="D326" s="39" t="s">
        <v>652</v>
      </c>
      <c r="E326" s="28" t="s">
        <v>621</v>
      </c>
      <c r="F326" s="43">
        <v>0</v>
      </c>
      <c r="G326" s="7" t="s">
        <v>11</v>
      </c>
      <c r="H326" s="78"/>
      <c r="I326" s="9" t="s">
        <v>935</v>
      </c>
    </row>
    <row r="327" spans="1:9" ht="82.5">
      <c r="A327" s="238">
        <v>325</v>
      </c>
      <c r="B327" s="29" t="s">
        <v>253</v>
      </c>
      <c r="C327" s="39" t="s">
        <v>602</v>
      </c>
      <c r="D327" s="39" t="s">
        <v>653</v>
      </c>
      <c r="E327" s="28" t="s">
        <v>612</v>
      </c>
      <c r="F327" s="43" t="s">
        <v>654</v>
      </c>
      <c r="G327" s="7" t="s">
        <v>11</v>
      </c>
      <c r="H327" s="78"/>
      <c r="I327" s="9" t="s">
        <v>935</v>
      </c>
    </row>
    <row r="328" spans="1:9" ht="66">
      <c r="A328" s="238">
        <v>326</v>
      </c>
      <c r="B328" s="29" t="s">
        <v>253</v>
      </c>
      <c r="C328" s="27" t="s">
        <v>602</v>
      </c>
      <c r="D328" s="27" t="s">
        <v>655</v>
      </c>
      <c r="E328" s="29" t="s">
        <v>618</v>
      </c>
      <c r="F328" s="44" t="s">
        <v>656</v>
      </c>
      <c r="G328" s="7" t="s">
        <v>11</v>
      </c>
      <c r="H328" s="78"/>
      <c r="I328" s="9" t="s">
        <v>935</v>
      </c>
    </row>
    <row r="329" spans="1:9" ht="82.5">
      <c r="A329" s="238">
        <v>327</v>
      </c>
      <c r="B329" s="28" t="s">
        <v>305</v>
      </c>
      <c r="C329" s="39" t="s">
        <v>602</v>
      </c>
      <c r="D329" s="39" t="s">
        <v>657</v>
      </c>
      <c r="E329" s="28" t="s">
        <v>615</v>
      </c>
      <c r="F329" s="43" t="s">
        <v>658</v>
      </c>
      <c r="G329" s="7" t="s">
        <v>11</v>
      </c>
      <c r="H329" s="78"/>
      <c r="I329" s="9" t="s">
        <v>935</v>
      </c>
    </row>
    <row r="330" spans="1:9" ht="132">
      <c r="A330" s="238">
        <v>328</v>
      </c>
      <c r="B330" s="28" t="s">
        <v>305</v>
      </c>
      <c r="C330" s="39" t="s">
        <v>602</v>
      </c>
      <c r="D330" s="39" t="s">
        <v>659</v>
      </c>
      <c r="E330" s="28" t="s">
        <v>645</v>
      </c>
      <c r="F330" s="43" t="s">
        <v>660</v>
      </c>
      <c r="G330" s="7" t="s">
        <v>11</v>
      </c>
      <c r="H330" s="78"/>
      <c r="I330" s="9" t="s">
        <v>935</v>
      </c>
    </row>
    <row r="331" spans="1:9" ht="66">
      <c r="A331" s="238">
        <v>329</v>
      </c>
      <c r="B331" s="28" t="s">
        <v>305</v>
      </c>
      <c r="C331" s="39" t="s">
        <v>602</v>
      </c>
      <c r="D331" s="39" t="s">
        <v>661</v>
      </c>
      <c r="E331" s="28" t="s">
        <v>618</v>
      </c>
      <c r="F331" s="43" t="s">
        <v>662</v>
      </c>
      <c r="G331" s="7" t="s">
        <v>11</v>
      </c>
      <c r="H331" s="78"/>
      <c r="I331" s="9" t="s">
        <v>935</v>
      </c>
    </row>
    <row r="332" spans="1:9" ht="66">
      <c r="A332" s="238">
        <v>330</v>
      </c>
      <c r="B332" s="28" t="s">
        <v>305</v>
      </c>
      <c r="C332" s="39" t="s">
        <v>602</v>
      </c>
      <c r="D332" s="39" t="s">
        <v>663</v>
      </c>
      <c r="E332" s="28" t="s">
        <v>621</v>
      </c>
      <c r="F332" s="43">
        <v>0</v>
      </c>
      <c r="G332" s="7" t="s">
        <v>11</v>
      </c>
      <c r="H332" s="78"/>
      <c r="I332" s="9" t="s">
        <v>935</v>
      </c>
    </row>
    <row r="333" spans="1:9" ht="49.5">
      <c r="A333" s="238">
        <v>331</v>
      </c>
      <c r="B333" s="29" t="s">
        <v>501</v>
      </c>
      <c r="C333" s="39" t="s">
        <v>602</v>
      </c>
      <c r="D333" s="39">
        <v>19</v>
      </c>
      <c r="E333" s="28" t="s">
        <v>664</v>
      </c>
      <c r="F333" s="43" t="s">
        <v>665</v>
      </c>
      <c r="G333" s="7" t="s">
        <v>11</v>
      </c>
      <c r="H333" s="78"/>
      <c r="I333" s="9" t="s">
        <v>935</v>
      </c>
    </row>
    <row r="334" spans="1:9" ht="82.5">
      <c r="A334" s="238">
        <v>332</v>
      </c>
      <c r="B334" s="29" t="s">
        <v>501</v>
      </c>
      <c r="C334" s="39" t="s">
        <v>602</v>
      </c>
      <c r="D334" s="39">
        <v>24</v>
      </c>
      <c r="E334" s="28" t="s">
        <v>666</v>
      </c>
      <c r="F334" s="43" t="s">
        <v>667</v>
      </c>
      <c r="G334" s="7" t="s">
        <v>11</v>
      </c>
      <c r="H334" s="78"/>
      <c r="I334" s="9" t="s">
        <v>935</v>
      </c>
    </row>
    <row r="335" spans="1:9" ht="49.5">
      <c r="A335" s="238">
        <v>333</v>
      </c>
      <c r="B335" s="29" t="s">
        <v>501</v>
      </c>
      <c r="C335" s="39" t="s">
        <v>602</v>
      </c>
      <c r="D335" s="39" t="s">
        <v>668</v>
      </c>
      <c r="E335" s="28" t="s">
        <v>669</v>
      </c>
      <c r="F335" s="43" t="s">
        <v>670</v>
      </c>
      <c r="G335" s="7" t="s">
        <v>11</v>
      </c>
      <c r="H335" s="78"/>
      <c r="I335" s="9" t="s">
        <v>935</v>
      </c>
    </row>
    <row r="336" spans="1:9" ht="66">
      <c r="A336" s="238">
        <v>334</v>
      </c>
      <c r="B336" s="29" t="s">
        <v>501</v>
      </c>
      <c r="C336" s="39" t="s">
        <v>602</v>
      </c>
      <c r="D336" s="39" t="s">
        <v>671</v>
      </c>
      <c r="E336" s="28" t="s">
        <v>672</v>
      </c>
      <c r="F336" s="43" t="s">
        <v>673</v>
      </c>
      <c r="G336" s="7" t="s">
        <v>11</v>
      </c>
      <c r="H336" s="78"/>
      <c r="I336" s="9" t="s">
        <v>935</v>
      </c>
    </row>
    <row r="337" spans="1:9" ht="82.5">
      <c r="A337" s="238">
        <v>335</v>
      </c>
      <c r="B337" s="29" t="s">
        <v>501</v>
      </c>
      <c r="C337" s="39" t="s">
        <v>602</v>
      </c>
      <c r="D337" s="39">
        <v>47</v>
      </c>
      <c r="E337" s="28" t="s">
        <v>674</v>
      </c>
      <c r="F337" s="43" t="s">
        <v>675</v>
      </c>
      <c r="G337" s="7" t="s">
        <v>11</v>
      </c>
      <c r="H337" s="78"/>
      <c r="I337" s="9" t="s">
        <v>935</v>
      </c>
    </row>
    <row r="338" spans="1:9" ht="66">
      <c r="A338" s="238">
        <v>336</v>
      </c>
      <c r="B338" s="28" t="s">
        <v>286</v>
      </c>
      <c r="C338" s="39" t="s">
        <v>602</v>
      </c>
      <c r="D338" s="39" t="s">
        <v>676</v>
      </c>
      <c r="E338" s="28" t="s">
        <v>618</v>
      </c>
      <c r="F338" s="43" t="s">
        <v>677</v>
      </c>
      <c r="G338" s="7" t="s">
        <v>11</v>
      </c>
      <c r="H338" s="78"/>
      <c r="I338" s="9" t="s">
        <v>935</v>
      </c>
    </row>
    <row r="339" spans="1:9" ht="66">
      <c r="A339" s="238">
        <v>337</v>
      </c>
      <c r="B339" s="28" t="s">
        <v>286</v>
      </c>
      <c r="C339" s="39" t="s">
        <v>602</v>
      </c>
      <c r="D339" s="39" t="s">
        <v>678</v>
      </c>
      <c r="E339" s="28" t="s">
        <v>679</v>
      </c>
      <c r="F339" s="43" t="s">
        <v>680</v>
      </c>
      <c r="G339" s="7" t="s">
        <v>11</v>
      </c>
      <c r="H339" s="78"/>
      <c r="I339" s="9" t="s">
        <v>935</v>
      </c>
    </row>
    <row r="340" spans="1:9" ht="66">
      <c r="A340" s="238">
        <v>338</v>
      </c>
      <c r="B340" s="28" t="s">
        <v>286</v>
      </c>
      <c r="C340" s="39" t="s">
        <v>602</v>
      </c>
      <c r="D340" s="39" t="s">
        <v>681</v>
      </c>
      <c r="E340" s="28" t="s">
        <v>621</v>
      </c>
      <c r="F340" s="43">
        <v>0</v>
      </c>
      <c r="G340" s="7" t="s">
        <v>11</v>
      </c>
      <c r="H340" s="78"/>
      <c r="I340" s="9" t="s">
        <v>935</v>
      </c>
    </row>
    <row r="341" spans="1:9" ht="66">
      <c r="A341" s="238">
        <v>339</v>
      </c>
      <c r="B341" s="29" t="s">
        <v>405</v>
      </c>
      <c r="C341" s="26" t="s">
        <v>602</v>
      </c>
      <c r="D341" s="39" t="s">
        <v>682</v>
      </c>
      <c r="E341" s="28" t="s">
        <v>618</v>
      </c>
      <c r="F341" s="43" t="s">
        <v>683</v>
      </c>
      <c r="G341" s="7" t="s">
        <v>11</v>
      </c>
      <c r="H341" s="78"/>
      <c r="I341" s="9" t="s">
        <v>935</v>
      </c>
    </row>
    <row r="342" spans="1:9" ht="66">
      <c r="A342" s="238">
        <v>340</v>
      </c>
      <c r="B342" s="29" t="s">
        <v>405</v>
      </c>
      <c r="C342" s="26" t="s">
        <v>602</v>
      </c>
      <c r="D342" s="39" t="s">
        <v>684</v>
      </c>
      <c r="E342" s="28" t="s">
        <v>679</v>
      </c>
      <c r="F342" s="43" t="s">
        <v>685</v>
      </c>
      <c r="G342" s="7" t="s">
        <v>11</v>
      </c>
      <c r="H342" s="78"/>
      <c r="I342" s="9" t="s">
        <v>935</v>
      </c>
    </row>
    <row r="343" spans="1:9" ht="66">
      <c r="A343" s="238">
        <v>341</v>
      </c>
      <c r="B343" s="29" t="s">
        <v>405</v>
      </c>
      <c r="C343" s="26" t="s">
        <v>602</v>
      </c>
      <c r="D343" s="39" t="s">
        <v>686</v>
      </c>
      <c r="E343" s="28" t="s">
        <v>687</v>
      </c>
      <c r="F343" s="43" t="s">
        <v>688</v>
      </c>
      <c r="G343" s="7" t="s">
        <v>11</v>
      </c>
      <c r="H343" s="78"/>
      <c r="I343" s="9" t="s">
        <v>935</v>
      </c>
    </row>
    <row r="344" spans="1:9" ht="82.5">
      <c r="A344" s="238">
        <v>342</v>
      </c>
      <c r="B344" s="28" t="s">
        <v>519</v>
      </c>
      <c r="C344" s="39" t="s">
        <v>317</v>
      </c>
      <c r="D344" s="38">
        <v>12</v>
      </c>
      <c r="E344" s="28" t="s">
        <v>689</v>
      </c>
      <c r="F344" s="43" t="s">
        <v>690</v>
      </c>
      <c r="G344" s="7" t="s">
        <v>11</v>
      </c>
      <c r="H344" s="78"/>
      <c r="I344" s="9" t="s">
        <v>935</v>
      </c>
    </row>
    <row r="345" spans="1:9" ht="148.5">
      <c r="A345" s="238">
        <v>343</v>
      </c>
      <c r="B345" s="29" t="s">
        <v>253</v>
      </c>
      <c r="C345" s="39" t="s">
        <v>338</v>
      </c>
      <c r="D345" s="38">
        <v>22</v>
      </c>
      <c r="E345" s="28" t="s">
        <v>691</v>
      </c>
      <c r="F345" s="45">
        <v>0</v>
      </c>
      <c r="G345" s="7" t="s">
        <v>11</v>
      </c>
      <c r="H345" s="78"/>
      <c r="I345" s="9" t="s">
        <v>935</v>
      </c>
    </row>
    <row r="346" spans="1:9" ht="49.5">
      <c r="A346" s="238">
        <v>344</v>
      </c>
      <c r="B346" s="29" t="s">
        <v>426</v>
      </c>
      <c r="C346" s="39" t="s">
        <v>406</v>
      </c>
      <c r="D346" s="39" t="s">
        <v>692</v>
      </c>
      <c r="E346" s="28" t="s">
        <v>693</v>
      </c>
      <c r="F346" s="186" t="s">
        <v>694</v>
      </c>
      <c r="G346" s="7" t="s">
        <v>11</v>
      </c>
      <c r="H346" s="78"/>
      <c r="I346" s="9" t="s">
        <v>935</v>
      </c>
    </row>
    <row r="347" spans="1:9" ht="47.25">
      <c r="A347" s="238">
        <v>345</v>
      </c>
      <c r="B347" s="29" t="s">
        <v>426</v>
      </c>
      <c r="C347" s="39" t="s">
        <v>406</v>
      </c>
      <c r="D347" s="39" t="s">
        <v>695</v>
      </c>
      <c r="E347" s="40" t="s">
        <v>696</v>
      </c>
      <c r="F347" s="43" t="s">
        <v>697</v>
      </c>
      <c r="G347" s="7" t="s">
        <v>11</v>
      </c>
      <c r="H347" s="78"/>
      <c r="I347" s="9" t="s">
        <v>935</v>
      </c>
    </row>
    <row r="348" spans="1:9" ht="49.5">
      <c r="A348" s="238">
        <v>346</v>
      </c>
      <c r="B348" s="29" t="s">
        <v>408</v>
      </c>
      <c r="C348" s="37" t="s">
        <v>296</v>
      </c>
      <c r="D348" s="37">
        <v>2</v>
      </c>
      <c r="E348" s="42" t="s">
        <v>698</v>
      </c>
      <c r="F348" s="43" t="s">
        <v>699</v>
      </c>
      <c r="G348" s="7" t="s">
        <v>11</v>
      </c>
      <c r="H348" s="78"/>
      <c r="I348" s="9" t="s">
        <v>935</v>
      </c>
    </row>
    <row r="349" spans="1:9" ht="47.25">
      <c r="A349" s="238">
        <v>347</v>
      </c>
      <c r="B349" s="29" t="s">
        <v>457</v>
      </c>
      <c r="C349" s="27" t="s">
        <v>700</v>
      </c>
      <c r="D349" s="27">
        <v>4</v>
      </c>
      <c r="E349" s="40" t="s">
        <v>701</v>
      </c>
      <c r="F349" s="187">
        <v>99650</v>
      </c>
      <c r="G349" s="7" t="s">
        <v>11</v>
      </c>
      <c r="H349" s="78"/>
      <c r="I349" s="9" t="s">
        <v>935</v>
      </c>
    </row>
    <row r="350" spans="1:9" ht="63">
      <c r="A350" s="238">
        <v>348</v>
      </c>
      <c r="B350" s="29" t="s">
        <v>501</v>
      </c>
      <c r="C350" s="26" t="s">
        <v>314</v>
      </c>
      <c r="D350" s="26">
        <v>17</v>
      </c>
      <c r="E350" s="40" t="s">
        <v>702</v>
      </c>
      <c r="F350" s="188">
        <v>12262842</v>
      </c>
      <c r="G350" s="7" t="s">
        <v>11</v>
      </c>
      <c r="H350" s="78"/>
      <c r="I350" s="9" t="s">
        <v>935</v>
      </c>
    </row>
    <row r="351" spans="1:9" ht="49.5">
      <c r="A351" s="238">
        <v>349</v>
      </c>
      <c r="B351" s="29" t="s">
        <v>476</v>
      </c>
      <c r="C351" s="9" t="s">
        <v>703</v>
      </c>
      <c r="D351" s="46" t="s">
        <v>704</v>
      </c>
      <c r="E351" s="36" t="s">
        <v>705</v>
      </c>
      <c r="F351" s="18" t="s">
        <v>706</v>
      </c>
      <c r="G351" s="7" t="s">
        <v>11</v>
      </c>
      <c r="H351" s="78"/>
      <c r="I351" s="9" t="s">
        <v>935</v>
      </c>
    </row>
    <row r="352" spans="1:9" ht="49.5">
      <c r="A352" s="238">
        <v>350</v>
      </c>
      <c r="B352" s="29" t="s">
        <v>476</v>
      </c>
      <c r="C352" s="9" t="s">
        <v>703</v>
      </c>
      <c r="D352" s="46" t="s">
        <v>707</v>
      </c>
      <c r="E352" s="47" t="s">
        <v>708</v>
      </c>
      <c r="F352" s="18" t="s">
        <v>709</v>
      </c>
      <c r="G352" s="7" t="s">
        <v>11</v>
      </c>
      <c r="H352" s="78"/>
      <c r="I352" s="9" t="s">
        <v>935</v>
      </c>
    </row>
    <row r="353" spans="1:9" ht="82.5">
      <c r="A353" s="238">
        <v>351</v>
      </c>
      <c r="B353" s="29" t="s">
        <v>476</v>
      </c>
      <c r="C353" s="9" t="s">
        <v>703</v>
      </c>
      <c r="D353" s="46" t="s">
        <v>710</v>
      </c>
      <c r="E353" s="36" t="s">
        <v>711</v>
      </c>
      <c r="F353" s="18" t="s">
        <v>712</v>
      </c>
      <c r="G353" s="7" t="s">
        <v>11</v>
      </c>
      <c r="H353" s="78"/>
      <c r="I353" s="9" t="s">
        <v>935</v>
      </c>
    </row>
    <row r="354" spans="1:9" ht="63">
      <c r="A354" s="238">
        <v>352</v>
      </c>
      <c r="B354" s="29" t="s">
        <v>476</v>
      </c>
      <c r="C354" s="9" t="s">
        <v>703</v>
      </c>
      <c r="D354" s="46" t="s">
        <v>713</v>
      </c>
      <c r="E354" s="47" t="s">
        <v>714</v>
      </c>
      <c r="F354" s="189">
        <v>0</v>
      </c>
      <c r="G354" s="7" t="s">
        <v>11</v>
      </c>
      <c r="H354" s="78"/>
      <c r="I354" s="9" t="s">
        <v>935</v>
      </c>
    </row>
    <row r="355" spans="1:9" ht="115.5">
      <c r="A355" s="238">
        <v>353</v>
      </c>
      <c r="B355" s="29" t="s">
        <v>572</v>
      </c>
      <c r="C355" s="9" t="s">
        <v>703</v>
      </c>
      <c r="D355" s="46">
        <v>10</v>
      </c>
      <c r="E355" s="36" t="s">
        <v>715</v>
      </c>
      <c r="F355" s="18" t="s">
        <v>716</v>
      </c>
      <c r="G355" s="7" t="s">
        <v>11</v>
      </c>
      <c r="H355" s="78"/>
      <c r="I355" s="9" t="s">
        <v>935</v>
      </c>
    </row>
    <row r="356" spans="1:9" ht="49.5">
      <c r="A356" s="238">
        <v>354</v>
      </c>
      <c r="B356" s="29" t="s">
        <v>572</v>
      </c>
      <c r="C356" s="9" t="s">
        <v>703</v>
      </c>
      <c r="D356" s="46" t="s">
        <v>717</v>
      </c>
      <c r="E356" s="40" t="s">
        <v>718</v>
      </c>
      <c r="F356" s="18" t="s">
        <v>719</v>
      </c>
      <c r="G356" s="7" t="s">
        <v>11</v>
      </c>
      <c r="H356" s="78"/>
      <c r="I356" s="9" t="s">
        <v>935</v>
      </c>
    </row>
    <row r="357" spans="1:9" ht="63">
      <c r="A357" s="238">
        <v>355</v>
      </c>
      <c r="B357" s="29" t="s">
        <v>572</v>
      </c>
      <c r="C357" s="9" t="s">
        <v>703</v>
      </c>
      <c r="D357" s="46" t="s">
        <v>720</v>
      </c>
      <c r="E357" s="40" t="s">
        <v>721</v>
      </c>
      <c r="F357" s="18" t="s">
        <v>722</v>
      </c>
      <c r="G357" s="7" t="s">
        <v>11</v>
      </c>
      <c r="H357" s="78"/>
      <c r="I357" s="9" t="s">
        <v>935</v>
      </c>
    </row>
    <row r="358" spans="1:9" ht="49.5">
      <c r="A358" s="238">
        <v>356</v>
      </c>
      <c r="B358" s="29" t="s">
        <v>572</v>
      </c>
      <c r="C358" s="9" t="s">
        <v>703</v>
      </c>
      <c r="D358" s="46">
        <v>60</v>
      </c>
      <c r="E358" s="47" t="s">
        <v>723</v>
      </c>
      <c r="F358" s="18" t="s">
        <v>724</v>
      </c>
      <c r="G358" s="7" t="s">
        <v>11</v>
      </c>
      <c r="H358" s="78"/>
      <c r="I358" s="9" t="s">
        <v>935</v>
      </c>
    </row>
    <row r="359" spans="1:9" ht="63">
      <c r="A359" s="238">
        <v>357</v>
      </c>
      <c r="B359" s="29" t="s">
        <v>572</v>
      </c>
      <c r="C359" s="9" t="s">
        <v>703</v>
      </c>
      <c r="D359" s="46">
        <v>61</v>
      </c>
      <c r="E359" s="47" t="s">
        <v>725</v>
      </c>
      <c r="F359" s="18" t="s">
        <v>726</v>
      </c>
      <c r="G359" s="7" t="s">
        <v>11</v>
      </c>
      <c r="H359" s="78"/>
      <c r="I359" s="9" t="s">
        <v>935</v>
      </c>
    </row>
    <row r="360" spans="1:9" ht="63">
      <c r="A360" s="238">
        <v>358</v>
      </c>
      <c r="B360" s="29" t="s">
        <v>464</v>
      </c>
      <c r="C360" s="13" t="s">
        <v>703</v>
      </c>
      <c r="D360" s="48" t="s">
        <v>727</v>
      </c>
      <c r="E360" s="40" t="s">
        <v>728</v>
      </c>
      <c r="F360" s="2" t="s">
        <v>729</v>
      </c>
      <c r="G360" s="7" t="s">
        <v>11</v>
      </c>
      <c r="H360" s="78"/>
      <c r="I360" s="9" t="s">
        <v>935</v>
      </c>
    </row>
    <row r="361" spans="1:9" ht="63">
      <c r="A361" s="238">
        <v>359</v>
      </c>
      <c r="B361" s="29" t="s">
        <v>464</v>
      </c>
      <c r="C361" s="13" t="s">
        <v>703</v>
      </c>
      <c r="D361" s="48" t="s">
        <v>730</v>
      </c>
      <c r="E361" s="40" t="s">
        <v>731</v>
      </c>
      <c r="F361" s="2" t="s">
        <v>732</v>
      </c>
      <c r="G361" s="7" t="s">
        <v>11</v>
      </c>
      <c r="H361" s="78"/>
      <c r="I361" s="9" t="s">
        <v>935</v>
      </c>
    </row>
    <row r="362" spans="1:9" ht="110.25">
      <c r="A362" s="238">
        <v>360</v>
      </c>
      <c r="B362" s="29" t="s">
        <v>464</v>
      </c>
      <c r="C362" s="13" t="s">
        <v>703</v>
      </c>
      <c r="D362" s="48">
        <v>57</v>
      </c>
      <c r="E362" s="40" t="s">
        <v>733</v>
      </c>
      <c r="F362" s="2" t="s">
        <v>734</v>
      </c>
      <c r="G362" s="7" t="s">
        <v>11</v>
      </c>
      <c r="H362" s="78"/>
      <c r="I362" s="9" t="s">
        <v>935</v>
      </c>
    </row>
    <row r="363" spans="1:9" ht="49.5">
      <c r="A363" s="238">
        <v>361</v>
      </c>
      <c r="B363" s="29" t="s">
        <v>483</v>
      </c>
      <c r="C363" s="9" t="s">
        <v>703</v>
      </c>
      <c r="D363" s="48" t="s">
        <v>735</v>
      </c>
      <c r="E363" s="36" t="s">
        <v>736</v>
      </c>
      <c r="F363" s="2" t="s">
        <v>737</v>
      </c>
      <c r="G363" s="7" t="s">
        <v>11</v>
      </c>
      <c r="H363" s="78"/>
      <c r="I363" s="9" t="s">
        <v>935</v>
      </c>
    </row>
    <row r="364" spans="1:9" ht="49.5">
      <c r="A364" s="238">
        <v>362</v>
      </c>
      <c r="B364" s="29" t="s">
        <v>483</v>
      </c>
      <c r="C364" s="13" t="s">
        <v>703</v>
      </c>
      <c r="D364" s="48" t="s">
        <v>738</v>
      </c>
      <c r="E364" s="47" t="s">
        <v>739</v>
      </c>
      <c r="F364" s="2" t="s">
        <v>740</v>
      </c>
      <c r="G364" s="7" t="s">
        <v>11</v>
      </c>
      <c r="H364" s="78"/>
      <c r="I364" s="9" t="s">
        <v>935</v>
      </c>
    </row>
    <row r="365" spans="1:9" ht="63">
      <c r="A365" s="238">
        <v>363</v>
      </c>
      <c r="B365" s="29" t="s">
        <v>483</v>
      </c>
      <c r="C365" s="13" t="s">
        <v>703</v>
      </c>
      <c r="D365" s="48" t="s">
        <v>741</v>
      </c>
      <c r="E365" s="40" t="s">
        <v>742</v>
      </c>
      <c r="F365" s="2" t="s">
        <v>743</v>
      </c>
      <c r="G365" s="7" t="s">
        <v>11</v>
      </c>
      <c r="H365" s="78"/>
      <c r="I365" s="9" t="s">
        <v>935</v>
      </c>
    </row>
    <row r="366" spans="1:9" ht="49.5">
      <c r="A366" s="238">
        <v>364</v>
      </c>
      <c r="B366" s="29" t="s">
        <v>298</v>
      </c>
      <c r="C366" s="13" t="s">
        <v>703</v>
      </c>
      <c r="D366" s="46" t="s">
        <v>744</v>
      </c>
      <c r="E366" s="36" t="s">
        <v>745</v>
      </c>
      <c r="F366" s="2" t="s">
        <v>746</v>
      </c>
      <c r="G366" s="7" t="s">
        <v>11</v>
      </c>
      <c r="H366" s="78"/>
      <c r="I366" s="9" t="s">
        <v>935</v>
      </c>
    </row>
    <row r="367" spans="1:9" ht="49.5">
      <c r="A367" s="238">
        <v>365</v>
      </c>
      <c r="B367" s="29" t="s">
        <v>298</v>
      </c>
      <c r="C367" s="13" t="s">
        <v>703</v>
      </c>
      <c r="D367" s="48" t="s">
        <v>747</v>
      </c>
      <c r="E367" s="36" t="s">
        <v>748</v>
      </c>
      <c r="F367" s="2" t="s">
        <v>749</v>
      </c>
      <c r="G367" s="7" t="s">
        <v>11</v>
      </c>
      <c r="H367" s="78"/>
      <c r="I367" s="9" t="s">
        <v>935</v>
      </c>
    </row>
    <row r="368" spans="1:9" ht="49.5">
      <c r="A368" s="238">
        <v>366</v>
      </c>
      <c r="B368" s="29" t="s">
        <v>298</v>
      </c>
      <c r="C368" s="13" t="s">
        <v>703</v>
      </c>
      <c r="D368" s="48" t="s">
        <v>750</v>
      </c>
      <c r="E368" s="47" t="s">
        <v>751</v>
      </c>
      <c r="F368" s="2" t="s">
        <v>752</v>
      </c>
      <c r="G368" s="7" t="s">
        <v>11</v>
      </c>
      <c r="H368" s="78"/>
      <c r="I368" s="9" t="s">
        <v>935</v>
      </c>
    </row>
    <row r="369" spans="1:9" ht="82.5">
      <c r="A369" s="238">
        <v>367</v>
      </c>
      <c r="B369" s="28" t="s">
        <v>305</v>
      </c>
      <c r="C369" s="9" t="s">
        <v>703</v>
      </c>
      <c r="D369" s="48">
        <v>13</v>
      </c>
      <c r="E369" s="36" t="s">
        <v>753</v>
      </c>
      <c r="F369" s="2" t="s">
        <v>754</v>
      </c>
      <c r="G369" s="7" t="s">
        <v>11</v>
      </c>
      <c r="H369" s="78"/>
      <c r="I369" s="9" t="s">
        <v>935</v>
      </c>
    </row>
    <row r="370" spans="1:9" ht="66">
      <c r="A370" s="238">
        <v>368</v>
      </c>
      <c r="B370" s="28" t="s">
        <v>305</v>
      </c>
      <c r="C370" s="9" t="s">
        <v>703</v>
      </c>
      <c r="D370" s="48" t="s">
        <v>755</v>
      </c>
      <c r="E370" s="36" t="s">
        <v>756</v>
      </c>
      <c r="F370" s="2" t="s">
        <v>757</v>
      </c>
      <c r="G370" s="7" t="s">
        <v>11</v>
      </c>
      <c r="H370" s="78"/>
      <c r="I370" s="9" t="s">
        <v>935</v>
      </c>
    </row>
    <row r="371" spans="1:9" ht="47.25">
      <c r="A371" s="238">
        <v>369</v>
      </c>
      <c r="B371" s="28" t="s">
        <v>305</v>
      </c>
      <c r="C371" s="9" t="s">
        <v>703</v>
      </c>
      <c r="D371" s="48" t="s">
        <v>758</v>
      </c>
      <c r="E371" s="47" t="s">
        <v>759</v>
      </c>
      <c r="F371" s="2" t="s">
        <v>760</v>
      </c>
      <c r="G371" s="7" t="s">
        <v>11</v>
      </c>
      <c r="H371" s="78"/>
      <c r="I371" s="9" t="s">
        <v>935</v>
      </c>
    </row>
    <row r="372" spans="1:9" ht="63">
      <c r="A372" s="238">
        <v>370</v>
      </c>
      <c r="B372" s="28" t="s">
        <v>305</v>
      </c>
      <c r="C372" s="9" t="s">
        <v>703</v>
      </c>
      <c r="D372" s="48" t="s">
        <v>761</v>
      </c>
      <c r="E372" s="40" t="s">
        <v>762</v>
      </c>
      <c r="F372" s="2" t="s">
        <v>763</v>
      </c>
      <c r="G372" s="7" t="s">
        <v>11</v>
      </c>
      <c r="H372" s="78"/>
      <c r="I372" s="9" t="s">
        <v>935</v>
      </c>
    </row>
    <row r="373" spans="1:9" ht="78.75">
      <c r="A373" s="238">
        <v>371</v>
      </c>
      <c r="B373" s="29" t="s">
        <v>501</v>
      </c>
      <c r="C373" s="13" t="s">
        <v>703</v>
      </c>
      <c r="D373" s="48">
        <v>27</v>
      </c>
      <c r="E373" s="40" t="s">
        <v>764</v>
      </c>
      <c r="F373" s="2" t="s">
        <v>765</v>
      </c>
      <c r="G373" s="7" t="s">
        <v>11</v>
      </c>
      <c r="H373" s="78"/>
      <c r="I373" s="9" t="s">
        <v>935</v>
      </c>
    </row>
    <row r="374" spans="1:9" ht="63">
      <c r="A374" s="238">
        <v>372</v>
      </c>
      <c r="B374" s="29" t="s">
        <v>501</v>
      </c>
      <c r="C374" s="13" t="s">
        <v>703</v>
      </c>
      <c r="D374" s="48" t="s">
        <v>766</v>
      </c>
      <c r="E374" s="40" t="s">
        <v>767</v>
      </c>
      <c r="F374" s="2" t="s">
        <v>768</v>
      </c>
      <c r="G374" s="7" t="s">
        <v>11</v>
      </c>
      <c r="H374" s="78"/>
      <c r="I374" s="9" t="s">
        <v>935</v>
      </c>
    </row>
    <row r="375" spans="1:9" ht="49.5">
      <c r="A375" s="238">
        <v>373</v>
      </c>
      <c r="B375" s="29" t="s">
        <v>408</v>
      </c>
      <c r="C375" s="13" t="s">
        <v>703</v>
      </c>
      <c r="D375" s="46" t="s">
        <v>769</v>
      </c>
      <c r="E375" s="36" t="s">
        <v>770</v>
      </c>
      <c r="F375" s="2" t="s">
        <v>771</v>
      </c>
      <c r="G375" s="7" t="s">
        <v>11</v>
      </c>
      <c r="H375" s="78"/>
      <c r="I375" s="9" t="s">
        <v>935</v>
      </c>
    </row>
    <row r="376" spans="1:9" ht="49.5">
      <c r="A376" s="238">
        <v>374</v>
      </c>
      <c r="B376" s="29" t="s">
        <v>408</v>
      </c>
      <c r="C376" s="13" t="s">
        <v>703</v>
      </c>
      <c r="D376" s="48" t="s">
        <v>772</v>
      </c>
      <c r="E376" s="36" t="s">
        <v>773</v>
      </c>
      <c r="F376" s="2" t="s">
        <v>774</v>
      </c>
      <c r="G376" s="7" t="s">
        <v>11</v>
      </c>
      <c r="H376" s="78"/>
      <c r="I376" s="9" t="s">
        <v>935</v>
      </c>
    </row>
    <row r="377" spans="1:9" ht="47.25">
      <c r="A377" s="238">
        <v>375</v>
      </c>
      <c r="B377" s="29" t="s">
        <v>408</v>
      </c>
      <c r="C377" s="13" t="s">
        <v>703</v>
      </c>
      <c r="D377" s="48" t="s">
        <v>775</v>
      </c>
      <c r="E377" s="47" t="s">
        <v>776</v>
      </c>
      <c r="F377" s="2" t="s">
        <v>777</v>
      </c>
      <c r="G377" s="7" t="s">
        <v>11</v>
      </c>
      <c r="H377" s="78"/>
      <c r="I377" s="9" t="s">
        <v>935</v>
      </c>
    </row>
    <row r="378" spans="1:9" ht="63">
      <c r="A378" s="238">
        <v>376</v>
      </c>
      <c r="B378" s="29" t="s">
        <v>408</v>
      </c>
      <c r="C378" s="13" t="s">
        <v>703</v>
      </c>
      <c r="D378" s="48" t="s">
        <v>778</v>
      </c>
      <c r="E378" s="40" t="s">
        <v>779</v>
      </c>
      <c r="F378" s="2" t="s">
        <v>780</v>
      </c>
      <c r="G378" s="7" t="s">
        <v>11</v>
      </c>
      <c r="H378" s="78"/>
      <c r="I378" s="9" t="s">
        <v>935</v>
      </c>
    </row>
    <row r="379" spans="1:9" ht="49.5">
      <c r="A379" s="238">
        <v>377</v>
      </c>
      <c r="B379" s="29" t="s">
        <v>322</v>
      </c>
      <c r="C379" s="13" t="s">
        <v>703</v>
      </c>
      <c r="D379" s="46" t="s">
        <v>781</v>
      </c>
      <c r="E379" s="36" t="s">
        <v>782</v>
      </c>
      <c r="F379" s="2" t="s">
        <v>783</v>
      </c>
      <c r="G379" s="7" t="s">
        <v>11</v>
      </c>
      <c r="H379" s="78"/>
      <c r="I379" s="9" t="s">
        <v>935</v>
      </c>
    </row>
    <row r="380" spans="1:9" ht="49.5">
      <c r="A380" s="238">
        <v>378</v>
      </c>
      <c r="B380" s="29" t="s">
        <v>322</v>
      </c>
      <c r="C380" s="13" t="s">
        <v>703</v>
      </c>
      <c r="D380" s="48" t="s">
        <v>784</v>
      </c>
      <c r="E380" s="36" t="s">
        <v>785</v>
      </c>
      <c r="F380" s="2" t="s">
        <v>786</v>
      </c>
      <c r="G380" s="7" t="s">
        <v>11</v>
      </c>
      <c r="H380" s="78"/>
      <c r="I380" s="9" t="s">
        <v>935</v>
      </c>
    </row>
    <row r="381" spans="1:9" ht="47.25">
      <c r="A381" s="238">
        <v>379</v>
      </c>
      <c r="B381" s="29" t="s">
        <v>322</v>
      </c>
      <c r="C381" s="13" t="s">
        <v>703</v>
      </c>
      <c r="D381" s="48" t="s">
        <v>787</v>
      </c>
      <c r="E381" s="47" t="s">
        <v>788</v>
      </c>
      <c r="F381" s="2" t="s">
        <v>789</v>
      </c>
      <c r="G381" s="7" t="s">
        <v>11</v>
      </c>
      <c r="H381" s="78"/>
      <c r="I381" s="9" t="s">
        <v>935</v>
      </c>
    </row>
    <row r="382" spans="1:9" ht="47.25">
      <c r="A382" s="238">
        <v>380</v>
      </c>
      <c r="B382" s="29" t="s">
        <v>457</v>
      </c>
      <c r="C382" s="13" t="s">
        <v>703</v>
      </c>
      <c r="D382" s="48">
        <v>20</v>
      </c>
      <c r="E382" s="40" t="s">
        <v>790</v>
      </c>
      <c r="F382" s="2" t="s">
        <v>791</v>
      </c>
      <c r="G382" s="7" t="s">
        <v>11</v>
      </c>
      <c r="H382" s="78"/>
      <c r="I382" s="9" t="s">
        <v>935</v>
      </c>
    </row>
    <row r="383" spans="1:9" ht="47.25">
      <c r="A383" s="238">
        <v>381</v>
      </c>
      <c r="B383" s="29" t="s">
        <v>457</v>
      </c>
      <c r="C383" s="13" t="s">
        <v>703</v>
      </c>
      <c r="D383" s="48">
        <v>21</v>
      </c>
      <c r="E383" s="40" t="s">
        <v>792</v>
      </c>
      <c r="F383" s="2" t="s">
        <v>793</v>
      </c>
      <c r="G383" s="7" t="s">
        <v>11</v>
      </c>
      <c r="H383" s="78"/>
      <c r="I383" s="9" t="s">
        <v>935</v>
      </c>
    </row>
    <row r="384" spans="1:9" ht="63">
      <c r="A384" s="238">
        <v>382</v>
      </c>
      <c r="B384" s="29" t="s">
        <v>457</v>
      </c>
      <c r="C384" s="13" t="s">
        <v>703</v>
      </c>
      <c r="D384" s="48" t="s">
        <v>794</v>
      </c>
      <c r="E384" s="40" t="s">
        <v>795</v>
      </c>
      <c r="F384" s="2" t="s">
        <v>796</v>
      </c>
      <c r="G384" s="7" t="s">
        <v>11</v>
      </c>
      <c r="H384" s="78"/>
      <c r="I384" s="9" t="s">
        <v>935</v>
      </c>
    </row>
    <row r="385" spans="1:9" ht="63">
      <c r="A385" s="238">
        <v>383</v>
      </c>
      <c r="B385" s="29" t="s">
        <v>364</v>
      </c>
      <c r="C385" s="9" t="s">
        <v>797</v>
      </c>
      <c r="D385" s="9" t="s">
        <v>798</v>
      </c>
      <c r="E385" s="40" t="s">
        <v>799</v>
      </c>
      <c r="F385" s="18" t="s">
        <v>800</v>
      </c>
      <c r="G385" s="7" t="s">
        <v>11</v>
      </c>
      <c r="H385" s="78"/>
      <c r="I385" s="9" t="s">
        <v>935</v>
      </c>
    </row>
    <row r="386" spans="1:9" ht="82.5">
      <c r="A386" s="238">
        <v>384</v>
      </c>
      <c r="B386" s="29" t="s">
        <v>464</v>
      </c>
      <c r="C386" s="39" t="s">
        <v>801</v>
      </c>
      <c r="D386" s="49" t="s">
        <v>802</v>
      </c>
      <c r="E386" s="28" t="s">
        <v>803</v>
      </c>
      <c r="F386" s="50" t="s">
        <v>804</v>
      </c>
      <c r="G386" s="7" t="s">
        <v>11</v>
      </c>
      <c r="H386" s="78"/>
      <c r="I386" s="9" t="s">
        <v>935</v>
      </c>
    </row>
    <row r="387" spans="1:9" ht="66">
      <c r="A387" s="238">
        <v>385</v>
      </c>
      <c r="B387" s="29" t="s">
        <v>464</v>
      </c>
      <c r="C387" s="39" t="s">
        <v>801</v>
      </c>
      <c r="D387" s="49" t="s">
        <v>805</v>
      </c>
      <c r="E387" s="28" t="s">
        <v>806</v>
      </c>
      <c r="F387" s="50" t="s">
        <v>807</v>
      </c>
      <c r="G387" s="7" t="s">
        <v>11</v>
      </c>
      <c r="H387" s="78"/>
      <c r="I387" s="9" t="s">
        <v>935</v>
      </c>
    </row>
    <row r="388" spans="1:9" ht="66">
      <c r="A388" s="238">
        <v>386</v>
      </c>
      <c r="B388" s="29" t="s">
        <v>464</v>
      </c>
      <c r="C388" s="39" t="s">
        <v>801</v>
      </c>
      <c r="D388" s="49" t="s">
        <v>808</v>
      </c>
      <c r="E388" s="28" t="s">
        <v>809</v>
      </c>
      <c r="F388" s="50" t="s">
        <v>810</v>
      </c>
      <c r="G388" s="7" t="s">
        <v>11</v>
      </c>
      <c r="H388" s="78"/>
      <c r="I388" s="9" t="s">
        <v>935</v>
      </c>
    </row>
    <row r="389" spans="1:9" ht="99">
      <c r="A389" s="238">
        <v>387</v>
      </c>
      <c r="B389" s="29" t="s">
        <v>811</v>
      </c>
      <c r="C389" s="39" t="s">
        <v>801</v>
      </c>
      <c r="D389" s="49">
        <v>34</v>
      </c>
      <c r="E389" s="28" t="s">
        <v>812</v>
      </c>
      <c r="F389" s="50" t="s">
        <v>813</v>
      </c>
      <c r="G389" s="7" t="s">
        <v>11</v>
      </c>
      <c r="H389" s="78"/>
      <c r="I389" s="9" t="s">
        <v>935</v>
      </c>
    </row>
    <row r="390" spans="1:9" ht="82.5">
      <c r="A390" s="238">
        <v>388</v>
      </c>
      <c r="B390" s="29" t="s">
        <v>811</v>
      </c>
      <c r="C390" s="39" t="s">
        <v>801</v>
      </c>
      <c r="D390" s="49" t="s">
        <v>814</v>
      </c>
      <c r="E390" s="28" t="s">
        <v>815</v>
      </c>
      <c r="F390" s="50" t="s">
        <v>816</v>
      </c>
      <c r="G390" s="7" t="s">
        <v>11</v>
      </c>
      <c r="H390" s="78"/>
      <c r="I390" s="9" t="s">
        <v>935</v>
      </c>
    </row>
    <row r="391" spans="1:9" ht="66">
      <c r="A391" s="238">
        <v>389</v>
      </c>
      <c r="B391" s="29" t="s">
        <v>811</v>
      </c>
      <c r="C391" s="39" t="s">
        <v>801</v>
      </c>
      <c r="D391" s="49">
        <v>63</v>
      </c>
      <c r="E391" s="28" t="s">
        <v>817</v>
      </c>
      <c r="F391" s="50" t="s">
        <v>818</v>
      </c>
      <c r="G391" s="7" t="s">
        <v>11</v>
      </c>
      <c r="H391" s="78"/>
      <c r="I391" s="9" t="s">
        <v>935</v>
      </c>
    </row>
    <row r="392" spans="1:9" ht="115.5">
      <c r="A392" s="238">
        <v>390</v>
      </c>
      <c r="B392" s="29" t="s">
        <v>811</v>
      </c>
      <c r="C392" s="27" t="s">
        <v>801</v>
      </c>
      <c r="D392" s="51" t="s">
        <v>819</v>
      </c>
      <c r="E392" s="29" t="s">
        <v>820</v>
      </c>
      <c r="F392" s="52" t="s">
        <v>821</v>
      </c>
      <c r="G392" s="7" t="s">
        <v>11</v>
      </c>
      <c r="H392" s="78"/>
      <c r="I392" s="9" t="s">
        <v>935</v>
      </c>
    </row>
    <row r="393" spans="1:9" ht="49.5">
      <c r="A393" s="238">
        <v>391</v>
      </c>
      <c r="B393" s="29" t="s">
        <v>811</v>
      </c>
      <c r="C393" s="39" t="s">
        <v>801</v>
      </c>
      <c r="D393" s="49">
        <v>120</v>
      </c>
      <c r="E393" s="28" t="s">
        <v>822</v>
      </c>
      <c r="F393" s="53" t="s">
        <v>823</v>
      </c>
      <c r="G393" s="7" t="s">
        <v>11</v>
      </c>
      <c r="H393" s="78"/>
      <c r="I393" s="9" t="s">
        <v>935</v>
      </c>
    </row>
    <row r="394" spans="1:9" ht="66">
      <c r="A394" s="238">
        <v>392</v>
      </c>
      <c r="B394" s="28" t="s">
        <v>286</v>
      </c>
      <c r="C394" s="39" t="s">
        <v>801</v>
      </c>
      <c r="D394" s="35" t="s">
        <v>824</v>
      </c>
      <c r="E394" s="28" t="s">
        <v>825</v>
      </c>
      <c r="F394" s="54" t="s">
        <v>826</v>
      </c>
      <c r="G394" s="7" t="s">
        <v>11</v>
      </c>
      <c r="H394" s="78"/>
      <c r="I394" s="9" t="s">
        <v>935</v>
      </c>
    </row>
    <row r="395" spans="1:9" ht="66">
      <c r="A395" s="238">
        <v>393</v>
      </c>
      <c r="B395" s="28" t="s">
        <v>286</v>
      </c>
      <c r="C395" s="39" t="s">
        <v>801</v>
      </c>
      <c r="D395" s="35" t="s">
        <v>827</v>
      </c>
      <c r="E395" s="28" t="s">
        <v>828</v>
      </c>
      <c r="F395" s="54" t="s">
        <v>829</v>
      </c>
      <c r="G395" s="7" t="s">
        <v>11</v>
      </c>
      <c r="H395" s="78"/>
      <c r="I395" s="9" t="s">
        <v>935</v>
      </c>
    </row>
    <row r="396" spans="1:9" ht="82.5">
      <c r="A396" s="238">
        <v>394</v>
      </c>
      <c r="B396" s="28" t="s">
        <v>286</v>
      </c>
      <c r="C396" s="39" t="s">
        <v>801</v>
      </c>
      <c r="D396" s="35" t="s">
        <v>830</v>
      </c>
      <c r="E396" s="28" t="s">
        <v>831</v>
      </c>
      <c r="F396" s="54" t="s">
        <v>832</v>
      </c>
      <c r="G396" s="7" t="s">
        <v>11</v>
      </c>
      <c r="H396" s="78"/>
      <c r="I396" s="9" t="s">
        <v>935</v>
      </c>
    </row>
    <row r="397" spans="1:9" ht="82.5">
      <c r="A397" s="238">
        <v>395</v>
      </c>
      <c r="B397" s="28" t="s">
        <v>286</v>
      </c>
      <c r="C397" s="39" t="s">
        <v>801</v>
      </c>
      <c r="D397" s="35" t="s">
        <v>833</v>
      </c>
      <c r="E397" s="28" t="s">
        <v>834</v>
      </c>
      <c r="F397" s="54" t="s">
        <v>835</v>
      </c>
      <c r="G397" s="7" t="s">
        <v>11</v>
      </c>
      <c r="H397" s="78"/>
      <c r="I397" s="9" t="s">
        <v>935</v>
      </c>
    </row>
    <row r="398" spans="1:9" ht="66">
      <c r="A398" s="238">
        <v>396</v>
      </c>
      <c r="B398" s="29" t="s">
        <v>337</v>
      </c>
      <c r="C398" s="39" t="s">
        <v>801</v>
      </c>
      <c r="D398" s="49" t="s">
        <v>836</v>
      </c>
      <c r="E398" s="28" t="s">
        <v>837</v>
      </c>
      <c r="F398" s="50" t="s">
        <v>838</v>
      </c>
      <c r="G398" s="7" t="s">
        <v>11</v>
      </c>
      <c r="H398" s="78"/>
      <c r="I398" s="9" t="s">
        <v>935</v>
      </c>
    </row>
    <row r="399" spans="1:9" ht="66">
      <c r="A399" s="238">
        <v>397</v>
      </c>
      <c r="B399" s="29" t="s">
        <v>337</v>
      </c>
      <c r="C399" s="39" t="s">
        <v>801</v>
      </c>
      <c r="D399" s="49" t="s">
        <v>839</v>
      </c>
      <c r="E399" s="28" t="s">
        <v>840</v>
      </c>
      <c r="F399" s="50" t="s">
        <v>841</v>
      </c>
      <c r="G399" s="7" t="s">
        <v>11</v>
      </c>
      <c r="H399" s="78"/>
      <c r="I399" s="9" t="s">
        <v>935</v>
      </c>
    </row>
    <row r="400" spans="1:9" ht="82.5">
      <c r="A400" s="238">
        <v>398</v>
      </c>
      <c r="B400" s="29" t="s">
        <v>337</v>
      </c>
      <c r="C400" s="39" t="s">
        <v>801</v>
      </c>
      <c r="D400" s="49" t="s">
        <v>842</v>
      </c>
      <c r="E400" s="28" t="s">
        <v>843</v>
      </c>
      <c r="F400" s="50" t="s">
        <v>844</v>
      </c>
      <c r="G400" s="7" t="s">
        <v>11</v>
      </c>
      <c r="H400" s="78"/>
      <c r="I400" s="9" t="s">
        <v>935</v>
      </c>
    </row>
    <row r="401" spans="1:9" ht="66">
      <c r="A401" s="238">
        <v>399</v>
      </c>
      <c r="B401" s="29" t="s">
        <v>337</v>
      </c>
      <c r="C401" s="39" t="s">
        <v>801</v>
      </c>
      <c r="D401" s="49" t="s">
        <v>845</v>
      </c>
      <c r="E401" s="28" t="s">
        <v>846</v>
      </c>
      <c r="F401" s="50" t="s">
        <v>847</v>
      </c>
      <c r="G401" s="7" t="s">
        <v>11</v>
      </c>
      <c r="H401" s="78"/>
      <c r="I401" s="9" t="s">
        <v>935</v>
      </c>
    </row>
    <row r="402" spans="1:9" ht="66">
      <c r="A402" s="238">
        <v>400</v>
      </c>
      <c r="B402" s="28" t="s">
        <v>359</v>
      </c>
      <c r="C402" s="39" t="s">
        <v>801</v>
      </c>
      <c r="D402" s="49" t="s">
        <v>848</v>
      </c>
      <c r="E402" s="28" t="s">
        <v>849</v>
      </c>
      <c r="F402" s="50" t="s">
        <v>850</v>
      </c>
      <c r="G402" s="7" t="s">
        <v>11</v>
      </c>
      <c r="H402" s="78"/>
      <c r="I402" s="9" t="s">
        <v>935</v>
      </c>
    </row>
    <row r="403" spans="1:9" ht="49.5">
      <c r="A403" s="238">
        <v>401</v>
      </c>
      <c r="B403" s="28" t="s">
        <v>359</v>
      </c>
      <c r="C403" s="39" t="s">
        <v>801</v>
      </c>
      <c r="D403" s="49" t="s">
        <v>851</v>
      </c>
      <c r="E403" s="28" t="s">
        <v>852</v>
      </c>
      <c r="F403" s="50" t="s">
        <v>853</v>
      </c>
      <c r="G403" s="7" t="s">
        <v>11</v>
      </c>
      <c r="H403" s="78"/>
      <c r="I403" s="9" t="s">
        <v>935</v>
      </c>
    </row>
    <row r="404" spans="1:9" ht="82.5">
      <c r="A404" s="238">
        <v>402</v>
      </c>
      <c r="B404" s="28" t="s">
        <v>359</v>
      </c>
      <c r="C404" s="39" t="s">
        <v>801</v>
      </c>
      <c r="D404" s="49" t="s">
        <v>854</v>
      </c>
      <c r="E404" s="28" t="s">
        <v>855</v>
      </c>
      <c r="F404" s="50" t="s">
        <v>856</v>
      </c>
      <c r="G404" s="7" t="s">
        <v>11</v>
      </c>
      <c r="H404" s="78"/>
      <c r="I404" s="9" t="s">
        <v>935</v>
      </c>
    </row>
    <row r="405" spans="1:9" ht="66">
      <c r="A405" s="238">
        <v>403</v>
      </c>
      <c r="B405" s="28" t="s">
        <v>359</v>
      </c>
      <c r="C405" s="39" t="s">
        <v>801</v>
      </c>
      <c r="D405" s="49" t="s">
        <v>857</v>
      </c>
      <c r="E405" s="28" t="s">
        <v>858</v>
      </c>
      <c r="F405" s="50" t="s">
        <v>859</v>
      </c>
      <c r="G405" s="7" t="s">
        <v>11</v>
      </c>
      <c r="H405" s="78"/>
      <c r="I405" s="9" t="s">
        <v>935</v>
      </c>
    </row>
    <row r="406" spans="1:9" ht="66">
      <c r="A406" s="238">
        <v>404</v>
      </c>
      <c r="B406" s="29" t="s">
        <v>298</v>
      </c>
      <c r="C406" s="39" t="s">
        <v>801</v>
      </c>
      <c r="D406" s="49" t="s">
        <v>860</v>
      </c>
      <c r="E406" s="28" t="s">
        <v>861</v>
      </c>
      <c r="F406" s="50" t="s">
        <v>862</v>
      </c>
      <c r="G406" s="7" t="s">
        <v>11</v>
      </c>
      <c r="H406" s="78"/>
      <c r="I406" s="9" t="s">
        <v>935</v>
      </c>
    </row>
    <row r="407" spans="1:9" ht="82.5">
      <c r="A407" s="238">
        <v>405</v>
      </c>
      <c r="B407" s="29" t="s">
        <v>298</v>
      </c>
      <c r="C407" s="39" t="s">
        <v>801</v>
      </c>
      <c r="D407" s="49" t="s">
        <v>863</v>
      </c>
      <c r="E407" s="28" t="s">
        <v>864</v>
      </c>
      <c r="F407" s="50" t="s">
        <v>865</v>
      </c>
      <c r="G407" s="7" t="s">
        <v>11</v>
      </c>
      <c r="H407" s="78"/>
      <c r="I407" s="9" t="s">
        <v>935</v>
      </c>
    </row>
    <row r="408" spans="1:9" ht="82.5">
      <c r="A408" s="238">
        <v>406</v>
      </c>
      <c r="B408" s="29" t="s">
        <v>298</v>
      </c>
      <c r="C408" s="39" t="s">
        <v>801</v>
      </c>
      <c r="D408" s="49" t="s">
        <v>866</v>
      </c>
      <c r="E408" s="28" t="s">
        <v>867</v>
      </c>
      <c r="F408" s="50" t="s">
        <v>868</v>
      </c>
      <c r="G408" s="7" t="s">
        <v>11</v>
      </c>
      <c r="H408" s="78"/>
      <c r="I408" s="9" t="s">
        <v>935</v>
      </c>
    </row>
    <row r="409" spans="1:9" ht="66">
      <c r="A409" s="238">
        <v>407</v>
      </c>
      <c r="B409" s="29" t="s">
        <v>298</v>
      </c>
      <c r="C409" s="39" t="s">
        <v>801</v>
      </c>
      <c r="D409" s="49" t="s">
        <v>869</v>
      </c>
      <c r="E409" s="28" t="s">
        <v>870</v>
      </c>
      <c r="F409" s="50" t="s">
        <v>871</v>
      </c>
      <c r="G409" s="7" t="s">
        <v>11</v>
      </c>
      <c r="H409" s="78"/>
      <c r="I409" s="9" t="s">
        <v>935</v>
      </c>
    </row>
    <row r="410" spans="1:9" ht="40.5">
      <c r="A410" s="238">
        <v>408</v>
      </c>
      <c r="B410" s="29" t="s">
        <v>276</v>
      </c>
      <c r="C410" s="95" t="s">
        <v>801</v>
      </c>
      <c r="D410" s="55" t="s">
        <v>872</v>
      </c>
      <c r="E410" s="204" t="s">
        <v>873</v>
      </c>
      <c r="F410" s="56" t="s">
        <v>874</v>
      </c>
      <c r="G410" s="7" t="s">
        <v>11</v>
      </c>
      <c r="H410" s="78"/>
      <c r="I410" s="9" t="s">
        <v>935</v>
      </c>
    </row>
    <row r="411" spans="1:9" ht="67.5">
      <c r="A411" s="238">
        <v>409</v>
      </c>
      <c r="B411" s="29" t="s">
        <v>276</v>
      </c>
      <c r="C411" s="95" t="s">
        <v>801</v>
      </c>
      <c r="D411" s="55">
        <v>42</v>
      </c>
      <c r="E411" s="204" t="s">
        <v>875</v>
      </c>
      <c r="F411" s="56" t="s">
        <v>876</v>
      </c>
      <c r="G411" s="7" t="s">
        <v>11</v>
      </c>
      <c r="H411" s="78"/>
      <c r="I411" s="9" t="s">
        <v>935</v>
      </c>
    </row>
    <row r="412" spans="1:9" ht="40.5">
      <c r="A412" s="238">
        <v>410</v>
      </c>
      <c r="B412" s="29" t="s">
        <v>276</v>
      </c>
      <c r="C412" s="95" t="s">
        <v>801</v>
      </c>
      <c r="D412" s="55" t="s">
        <v>877</v>
      </c>
      <c r="E412" s="204" t="s">
        <v>878</v>
      </c>
      <c r="F412" s="56" t="s">
        <v>879</v>
      </c>
      <c r="G412" s="7" t="s">
        <v>11</v>
      </c>
      <c r="H412" s="78"/>
      <c r="I412" s="9" t="s">
        <v>935</v>
      </c>
    </row>
    <row r="413" spans="1:9" ht="40.5">
      <c r="A413" s="238">
        <v>411</v>
      </c>
      <c r="B413" s="29" t="s">
        <v>276</v>
      </c>
      <c r="C413" s="95" t="s">
        <v>801</v>
      </c>
      <c r="D413" s="55" t="s">
        <v>880</v>
      </c>
      <c r="E413" s="204" t="s">
        <v>881</v>
      </c>
      <c r="F413" s="56" t="s">
        <v>882</v>
      </c>
      <c r="G413" s="7" t="s">
        <v>11</v>
      </c>
      <c r="H413" s="78"/>
      <c r="I413" s="9" t="s">
        <v>935</v>
      </c>
    </row>
    <row r="414" spans="1:9" ht="54">
      <c r="A414" s="238">
        <v>412</v>
      </c>
      <c r="B414" s="29" t="s">
        <v>276</v>
      </c>
      <c r="C414" s="95" t="s">
        <v>801</v>
      </c>
      <c r="D414" s="55" t="s">
        <v>883</v>
      </c>
      <c r="E414" s="204" t="s">
        <v>884</v>
      </c>
      <c r="F414" s="56" t="s">
        <v>885</v>
      </c>
      <c r="G414" s="7" t="s">
        <v>11</v>
      </c>
      <c r="H414" s="78"/>
      <c r="I414" s="9" t="s">
        <v>935</v>
      </c>
    </row>
    <row r="415" spans="1:9" ht="40.5">
      <c r="A415" s="238">
        <v>413</v>
      </c>
      <c r="B415" s="29" t="s">
        <v>276</v>
      </c>
      <c r="C415" s="95" t="s">
        <v>801</v>
      </c>
      <c r="D415" s="55" t="s">
        <v>886</v>
      </c>
      <c r="E415" s="204" t="s">
        <v>887</v>
      </c>
      <c r="F415" s="56" t="s">
        <v>888</v>
      </c>
      <c r="G415" s="7" t="s">
        <v>11</v>
      </c>
      <c r="H415" s="78"/>
      <c r="I415" s="9" t="s">
        <v>935</v>
      </c>
    </row>
    <row r="416" spans="1:9" ht="40.5">
      <c r="A416" s="238">
        <v>414</v>
      </c>
      <c r="B416" s="29" t="s">
        <v>276</v>
      </c>
      <c r="C416" s="95" t="s">
        <v>801</v>
      </c>
      <c r="D416" s="55" t="s">
        <v>889</v>
      </c>
      <c r="E416" s="204" t="s">
        <v>890</v>
      </c>
      <c r="F416" s="56" t="s">
        <v>891</v>
      </c>
      <c r="G416" s="7" t="s">
        <v>11</v>
      </c>
      <c r="H416" s="78"/>
      <c r="I416" s="9" t="s">
        <v>935</v>
      </c>
    </row>
    <row r="417" spans="1:9" ht="54">
      <c r="A417" s="238">
        <v>415</v>
      </c>
      <c r="B417" s="29" t="s">
        <v>276</v>
      </c>
      <c r="C417" s="95" t="s">
        <v>801</v>
      </c>
      <c r="D417" s="55" t="s">
        <v>892</v>
      </c>
      <c r="E417" s="204" t="s">
        <v>893</v>
      </c>
      <c r="F417" s="56" t="s">
        <v>894</v>
      </c>
      <c r="G417" s="7" t="s">
        <v>11</v>
      </c>
      <c r="H417" s="78"/>
      <c r="I417" s="9" t="s">
        <v>935</v>
      </c>
    </row>
    <row r="418" spans="1:9" ht="40.5">
      <c r="A418" s="238">
        <v>416</v>
      </c>
      <c r="B418" s="29" t="s">
        <v>276</v>
      </c>
      <c r="C418" s="95" t="s">
        <v>801</v>
      </c>
      <c r="D418" s="55">
        <v>108</v>
      </c>
      <c r="E418" s="204" t="s">
        <v>895</v>
      </c>
      <c r="F418" s="56" t="s">
        <v>896</v>
      </c>
      <c r="G418" s="7" t="s">
        <v>11</v>
      </c>
      <c r="H418" s="78"/>
      <c r="I418" s="9" t="s">
        <v>935</v>
      </c>
    </row>
    <row r="419" spans="1:9" ht="40.5">
      <c r="A419" s="238">
        <v>417</v>
      </c>
      <c r="B419" s="29" t="s">
        <v>276</v>
      </c>
      <c r="C419" s="95" t="s">
        <v>801</v>
      </c>
      <c r="D419" s="55" t="s">
        <v>897</v>
      </c>
      <c r="E419" s="204" t="s">
        <v>898</v>
      </c>
      <c r="F419" s="56" t="s">
        <v>899</v>
      </c>
      <c r="G419" s="7" t="s">
        <v>11</v>
      </c>
      <c r="H419" s="78"/>
      <c r="I419" s="9" t="s">
        <v>935</v>
      </c>
    </row>
    <row r="420" spans="1:9" ht="54">
      <c r="A420" s="238">
        <v>418</v>
      </c>
      <c r="B420" s="29" t="s">
        <v>276</v>
      </c>
      <c r="C420" s="95" t="s">
        <v>801</v>
      </c>
      <c r="D420" s="55">
        <v>110</v>
      </c>
      <c r="E420" s="204" t="s">
        <v>900</v>
      </c>
      <c r="F420" s="56" t="s">
        <v>901</v>
      </c>
      <c r="G420" s="7" t="s">
        <v>11</v>
      </c>
      <c r="H420" s="78"/>
      <c r="I420" s="9" t="s">
        <v>935</v>
      </c>
    </row>
    <row r="421" spans="1:9" ht="40.5">
      <c r="A421" s="238">
        <v>419</v>
      </c>
      <c r="B421" s="29" t="s">
        <v>276</v>
      </c>
      <c r="C421" s="95" t="s">
        <v>801</v>
      </c>
      <c r="D421" s="55">
        <v>114</v>
      </c>
      <c r="E421" s="204" t="s">
        <v>902</v>
      </c>
      <c r="F421" s="56" t="s">
        <v>903</v>
      </c>
      <c r="G421" s="7" t="s">
        <v>11</v>
      </c>
      <c r="H421" s="78"/>
      <c r="I421" s="9" t="s">
        <v>935</v>
      </c>
    </row>
    <row r="422" spans="1:9" ht="66">
      <c r="A422" s="238">
        <v>420</v>
      </c>
      <c r="B422" s="29" t="s">
        <v>572</v>
      </c>
      <c r="C422" s="39" t="s">
        <v>801</v>
      </c>
      <c r="D422" s="49">
        <v>8</v>
      </c>
      <c r="E422" s="28" t="s">
        <v>904</v>
      </c>
      <c r="F422" s="50" t="s">
        <v>905</v>
      </c>
      <c r="G422" s="7" t="s">
        <v>11</v>
      </c>
      <c r="H422" s="78"/>
      <c r="I422" s="9" t="s">
        <v>935</v>
      </c>
    </row>
    <row r="423" spans="1:9" ht="82.5">
      <c r="A423" s="238">
        <v>421</v>
      </c>
      <c r="B423" s="29" t="s">
        <v>572</v>
      </c>
      <c r="C423" s="39" t="s">
        <v>801</v>
      </c>
      <c r="D423" s="49" t="s">
        <v>906</v>
      </c>
      <c r="E423" s="28" t="s">
        <v>907</v>
      </c>
      <c r="F423" s="50" t="s">
        <v>908</v>
      </c>
      <c r="G423" s="7" t="s">
        <v>11</v>
      </c>
      <c r="H423" s="78"/>
      <c r="I423" s="9" t="s">
        <v>935</v>
      </c>
    </row>
    <row r="424" spans="1:9" ht="66">
      <c r="A424" s="238">
        <v>422</v>
      </c>
      <c r="B424" s="29" t="s">
        <v>572</v>
      </c>
      <c r="C424" s="39" t="s">
        <v>801</v>
      </c>
      <c r="D424" s="49">
        <v>16</v>
      </c>
      <c r="E424" s="28" t="s">
        <v>909</v>
      </c>
      <c r="F424" s="50" t="s">
        <v>910</v>
      </c>
      <c r="G424" s="7" t="s">
        <v>11</v>
      </c>
      <c r="H424" s="78"/>
      <c r="I424" s="9" t="s">
        <v>935</v>
      </c>
    </row>
    <row r="425" spans="1:9" ht="66">
      <c r="A425" s="238">
        <v>423</v>
      </c>
      <c r="B425" s="29" t="s">
        <v>572</v>
      </c>
      <c r="C425" s="39" t="s">
        <v>801</v>
      </c>
      <c r="D425" s="49">
        <v>17</v>
      </c>
      <c r="E425" s="28" t="s">
        <v>911</v>
      </c>
      <c r="F425" s="50" t="s">
        <v>912</v>
      </c>
      <c r="G425" s="7" t="s">
        <v>11</v>
      </c>
      <c r="H425" s="78"/>
      <c r="I425" s="9" t="s">
        <v>935</v>
      </c>
    </row>
    <row r="426" spans="1:9" ht="66">
      <c r="A426" s="238">
        <v>424</v>
      </c>
      <c r="B426" s="29" t="s">
        <v>572</v>
      </c>
      <c r="C426" s="39" t="s">
        <v>801</v>
      </c>
      <c r="D426" s="49">
        <v>45</v>
      </c>
      <c r="E426" s="28" t="s">
        <v>913</v>
      </c>
      <c r="F426" s="50" t="s">
        <v>914</v>
      </c>
      <c r="G426" s="7" t="s">
        <v>11</v>
      </c>
      <c r="H426" s="78"/>
      <c r="I426" s="9" t="s">
        <v>935</v>
      </c>
    </row>
    <row r="427" spans="1:9" ht="66">
      <c r="A427" s="238">
        <v>425</v>
      </c>
      <c r="B427" s="29" t="s">
        <v>572</v>
      </c>
      <c r="C427" s="39" t="s">
        <v>801</v>
      </c>
      <c r="D427" s="49">
        <v>87</v>
      </c>
      <c r="E427" s="28" t="s">
        <v>915</v>
      </c>
      <c r="F427" s="50" t="s">
        <v>916</v>
      </c>
      <c r="G427" s="7" t="s">
        <v>11</v>
      </c>
      <c r="H427" s="78"/>
      <c r="I427" s="9" t="s">
        <v>935</v>
      </c>
    </row>
    <row r="428" spans="1:9" ht="115.5">
      <c r="A428" s="238">
        <v>426</v>
      </c>
      <c r="B428" s="29" t="s">
        <v>501</v>
      </c>
      <c r="C428" s="39" t="s">
        <v>801</v>
      </c>
      <c r="D428" s="49" t="s">
        <v>917</v>
      </c>
      <c r="E428" s="28" t="s">
        <v>918</v>
      </c>
      <c r="F428" s="50" t="s">
        <v>919</v>
      </c>
      <c r="G428" s="7" t="s">
        <v>11</v>
      </c>
      <c r="H428" s="78"/>
      <c r="I428" s="9" t="s">
        <v>935</v>
      </c>
    </row>
    <row r="429" spans="1:9" ht="66">
      <c r="A429" s="238">
        <v>427</v>
      </c>
      <c r="B429" s="29" t="s">
        <v>501</v>
      </c>
      <c r="C429" s="39" t="s">
        <v>801</v>
      </c>
      <c r="D429" s="49">
        <v>93</v>
      </c>
      <c r="E429" s="28" t="s">
        <v>920</v>
      </c>
      <c r="F429" s="50" t="s">
        <v>921</v>
      </c>
      <c r="G429" s="7" t="s">
        <v>11</v>
      </c>
      <c r="H429" s="78"/>
      <c r="I429" s="9" t="s">
        <v>935</v>
      </c>
    </row>
    <row r="430" spans="1:9" ht="66">
      <c r="A430" s="238">
        <v>428</v>
      </c>
      <c r="B430" s="29" t="s">
        <v>501</v>
      </c>
      <c r="C430" s="39" t="s">
        <v>801</v>
      </c>
      <c r="D430" s="49">
        <v>103</v>
      </c>
      <c r="E430" s="28" t="s">
        <v>922</v>
      </c>
      <c r="F430" s="50" t="s">
        <v>923</v>
      </c>
      <c r="G430" s="7" t="s">
        <v>11</v>
      </c>
      <c r="H430" s="78"/>
      <c r="I430" s="9" t="s">
        <v>935</v>
      </c>
    </row>
    <row r="431" spans="1:9" ht="99">
      <c r="A431" s="238">
        <v>429</v>
      </c>
      <c r="B431" s="29" t="s">
        <v>501</v>
      </c>
      <c r="C431" s="39" t="s">
        <v>801</v>
      </c>
      <c r="D431" s="49">
        <v>105</v>
      </c>
      <c r="E431" s="28" t="s">
        <v>924</v>
      </c>
      <c r="F431" s="50" t="s">
        <v>925</v>
      </c>
      <c r="G431" s="7" t="s">
        <v>11</v>
      </c>
      <c r="H431" s="78"/>
      <c r="I431" s="9" t="s">
        <v>935</v>
      </c>
    </row>
    <row r="432" spans="1:9" ht="82.5">
      <c r="A432" s="238">
        <v>430</v>
      </c>
      <c r="B432" s="29" t="s">
        <v>501</v>
      </c>
      <c r="C432" s="39" t="s">
        <v>801</v>
      </c>
      <c r="D432" s="49">
        <v>106</v>
      </c>
      <c r="E432" s="28" t="s">
        <v>926</v>
      </c>
      <c r="F432" s="50" t="s">
        <v>927</v>
      </c>
      <c r="G432" s="7" t="s">
        <v>11</v>
      </c>
      <c r="H432" s="78"/>
      <c r="I432" s="9" t="s">
        <v>935</v>
      </c>
    </row>
    <row r="433" spans="1:9" ht="33">
      <c r="A433" s="238">
        <v>431</v>
      </c>
      <c r="B433" s="29" t="s">
        <v>460</v>
      </c>
      <c r="C433" s="37" t="s">
        <v>928</v>
      </c>
      <c r="D433" s="35">
        <v>5</v>
      </c>
      <c r="E433" s="42" t="s">
        <v>929</v>
      </c>
      <c r="F433" s="54" t="s">
        <v>930</v>
      </c>
      <c r="G433" s="7" t="s">
        <v>11</v>
      </c>
      <c r="H433" s="78"/>
      <c r="I433" s="9" t="s">
        <v>935</v>
      </c>
    </row>
    <row r="434" spans="1:9" ht="49.5">
      <c r="A434" s="238">
        <v>432</v>
      </c>
      <c r="B434" s="29" t="s">
        <v>460</v>
      </c>
      <c r="C434" s="37" t="s">
        <v>462</v>
      </c>
      <c r="D434" s="35">
        <v>5</v>
      </c>
      <c r="E434" s="42" t="s">
        <v>931</v>
      </c>
      <c r="F434" s="2" t="s">
        <v>932</v>
      </c>
      <c r="G434" s="7" t="s">
        <v>11</v>
      </c>
      <c r="H434" s="78"/>
      <c r="I434" s="9" t="s">
        <v>935</v>
      </c>
    </row>
    <row r="435" spans="1:9" ht="49.5">
      <c r="A435" s="238">
        <v>433</v>
      </c>
      <c r="B435" s="29" t="s">
        <v>460</v>
      </c>
      <c r="C435" s="37" t="s">
        <v>928</v>
      </c>
      <c r="D435" s="37">
        <v>4</v>
      </c>
      <c r="E435" s="42" t="s">
        <v>933</v>
      </c>
      <c r="F435" s="190" t="s">
        <v>934</v>
      </c>
      <c r="G435" s="7" t="s">
        <v>11</v>
      </c>
      <c r="H435" s="78"/>
      <c r="I435" s="9" t="s">
        <v>935</v>
      </c>
    </row>
    <row r="436" spans="1:9" ht="54">
      <c r="A436" s="238">
        <v>434</v>
      </c>
      <c r="B436" s="29" t="s">
        <v>464</v>
      </c>
      <c r="C436" s="93" t="s">
        <v>987</v>
      </c>
      <c r="D436" s="93">
        <v>4</v>
      </c>
      <c r="E436" s="202" t="s">
        <v>988</v>
      </c>
      <c r="F436" s="93" t="s">
        <v>989</v>
      </c>
      <c r="G436" s="9" t="s">
        <v>43</v>
      </c>
      <c r="H436" s="9" t="s">
        <v>990</v>
      </c>
      <c r="I436" s="9" t="s">
        <v>935</v>
      </c>
    </row>
    <row r="437" spans="1:9" ht="126">
      <c r="A437" s="238">
        <v>435</v>
      </c>
      <c r="B437" s="29" t="s">
        <v>464</v>
      </c>
      <c r="C437" s="93" t="s">
        <v>324</v>
      </c>
      <c r="D437" s="93" t="s">
        <v>991</v>
      </c>
      <c r="E437" s="202" t="s">
        <v>992</v>
      </c>
      <c r="F437" s="93" t="s">
        <v>993</v>
      </c>
      <c r="G437" s="9" t="s">
        <v>43</v>
      </c>
      <c r="H437" s="9" t="s">
        <v>19</v>
      </c>
      <c r="I437" s="9" t="s">
        <v>935</v>
      </c>
    </row>
    <row r="438" spans="1:9" ht="72">
      <c r="A438" s="238">
        <v>436</v>
      </c>
      <c r="B438" s="202" t="s">
        <v>960</v>
      </c>
      <c r="C438" s="93" t="s">
        <v>324</v>
      </c>
      <c r="D438" s="93">
        <v>74</v>
      </c>
      <c r="E438" s="202" t="s">
        <v>994</v>
      </c>
      <c r="F438" s="93" t="s">
        <v>995</v>
      </c>
      <c r="G438" s="9" t="s">
        <v>43</v>
      </c>
      <c r="H438" s="37" t="s">
        <v>996</v>
      </c>
      <c r="I438" s="9" t="s">
        <v>935</v>
      </c>
    </row>
    <row r="439" spans="1:9" ht="54">
      <c r="A439" s="238">
        <v>437</v>
      </c>
      <c r="B439" s="202" t="s">
        <v>997</v>
      </c>
      <c r="C439" s="93" t="s">
        <v>998</v>
      </c>
      <c r="D439" s="96">
        <v>4</v>
      </c>
      <c r="E439" s="202" t="s">
        <v>999</v>
      </c>
      <c r="F439" s="93" t="s">
        <v>1000</v>
      </c>
      <c r="G439" s="9" t="s">
        <v>43</v>
      </c>
      <c r="H439" s="9" t="s">
        <v>990</v>
      </c>
      <c r="I439" s="9" t="s">
        <v>935</v>
      </c>
    </row>
    <row r="440" spans="1:9" ht="54">
      <c r="A440" s="238">
        <v>438</v>
      </c>
      <c r="B440" s="202" t="s">
        <v>1001</v>
      </c>
      <c r="C440" s="93" t="s">
        <v>324</v>
      </c>
      <c r="D440" s="93">
        <v>62</v>
      </c>
      <c r="E440" s="202" t="s">
        <v>1002</v>
      </c>
      <c r="F440" s="93" t="s">
        <v>1003</v>
      </c>
      <c r="G440" s="9" t="s">
        <v>43</v>
      </c>
      <c r="H440" s="9" t="s">
        <v>1004</v>
      </c>
      <c r="I440" s="9" t="s">
        <v>935</v>
      </c>
    </row>
    <row r="441" spans="1:9" ht="90">
      <c r="A441" s="238">
        <v>439</v>
      </c>
      <c r="B441" s="202" t="s">
        <v>1001</v>
      </c>
      <c r="C441" s="93" t="s">
        <v>324</v>
      </c>
      <c r="D441" s="93">
        <v>74</v>
      </c>
      <c r="E441" s="202" t="s">
        <v>1005</v>
      </c>
      <c r="F441" s="93" t="s">
        <v>1006</v>
      </c>
      <c r="G441" s="9" t="s">
        <v>43</v>
      </c>
      <c r="H441" s="9" t="s">
        <v>996</v>
      </c>
      <c r="I441" s="9" t="s">
        <v>935</v>
      </c>
    </row>
    <row r="442" spans="1:9" ht="72">
      <c r="A442" s="238">
        <v>440</v>
      </c>
      <c r="B442" s="202" t="s">
        <v>1007</v>
      </c>
      <c r="C442" s="93" t="s">
        <v>300</v>
      </c>
      <c r="D442" s="96">
        <v>6</v>
      </c>
      <c r="E442" s="202" t="s">
        <v>1008</v>
      </c>
      <c r="F442" s="93" t="s">
        <v>1009</v>
      </c>
      <c r="G442" s="9" t="s">
        <v>43</v>
      </c>
      <c r="H442" s="9" t="s">
        <v>990</v>
      </c>
      <c r="I442" s="9" t="s">
        <v>935</v>
      </c>
    </row>
    <row r="443" spans="1:9" ht="108">
      <c r="A443" s="238">
        <v>441</v>
      </c>
      <c r="B443" s="202" t="s">
        <v>1007</v>
      </c>
      <c r="C443" s="93" t="s">
        <v>797</v>
      </c>
      <c r="D443" s="96">
        <v>26</v>
      </c>
      <c r="E443" s="202" t="s">
        <v>1010</v>
      </c>
      <c r="F443" s="93" t="s">
        <v>1011</v>
      </c>
      <c r="G443" s="9" t="s">
        <v>43</v>
      </c>
      <c r="H443" s="9" t="s">
        <v>49</v>
      </c>
      <c r="I443" s="9" t="s">
        <v>935</v>
      </c>
    </row>
    <row r="444" spans="1:9" ht="90">
      <c r="A444" s="238">
        <v>442</v>
      </c>
      <c r="B444" s="202" t="s">
        <v>1012</v>
      </c>
      <c r="C444" s="93" t="s">
        <v>324</v>
      </c>
      <c r="D444" s="93">
        <v>58</v>
      </c>
      <c r="E444" s="202" t="s">
        <v>1013</v>
      </c>
      <c r="F444" s="93" t="s">
        <v>1014</v>
      </c>
      <c r="G444" s="9" t="s">
        <v>43</v>
      </c>
      <c r="H444" s="9" t="s">
        <v>996</v>
      </c>
      <c r="I444" s="9" t="s">
        <v>935</v>
      </c>
    </row>
    <row r="445" spans="1:9" ht="72">
      <c r="A445" s="238">
        <v>443</v>
      </c>
      <c r="B445" s="202" t="s">
        <v>1015</v>
      </c>
      <c r="C445" s="93" t="s">
        <v>1016</v>
      </c>
      <c r="D445" s="96">
        <v>6</v>
      </c>
      <c r="E445" s="202" t="s">
        <v>1017</v>
      </c>
      <c r="F445" s="93" t="s">
        <v>1018</v>
      </c>
      <c r="G445" s="9" t="s">
        <v>43</v>
      </c>
      <c r="H445" s="9" t="s">
        <v>19</v>
      </c>
      <c r="I445" s="9" t="s">
        <v>935</v>
      </c>
    </row>
    <row r="446" spans="1:9" ht="54">
      <c r="A446" s="238">
        <v>444</v>
      </c>
      <c r="B446" s="202" t="s">
        <v>1019</v>
      </c>
      <c r="C446" s="93" t="s">
        <v>1016</v>
      </c>
      <c r="D446" s="96">
        <v>2</v>
      </c>
      <c r="E446" s="202" t="s">
        <v>1020</v>
      </c>
      <c r="F446" s="93" t="s">
        <v>1021</v>
      </c>
      <c r="G446" s="9" t="s">
        <v>43</v>
      </c>
      <c r="H446" s="9" t="s">
        <v>1022</v>
      </c>
      <c r="I446" s="9" t="s">
        <v>935</v>
      </c>
    </row>
    <row r="447" spans="1:9" ht="72">
      <c r="A447" s="238">
        <v>445</v>
      </c>
      <c r="B447" s="202" t="s">
        <v>1019</v>
      </c>
      <c r="C447" s="93" t="s">
        <v>274</v>
      </c>
      <c r="D447" s="96">
        <v>35</v>
      </c>
      <c r="E447" s="202" t="s">
        <v>1023</v>
      </c>
      <c r="F447" s="93" t="s">
        <v>1024</v>
      </c>
      <c r="G447" s="9" t="s">
        <v>43</v>
      </c>
      <c r="H447" s="9" t="s">
        <v>29</v>
      </c>
      <c r="I447" s="9" t="s">
        <v>935</v>
      </c>
    </row>
    <row r="448" spans="1:9" ht="90">
      <c r="A448" s="238">
        <v>446</v>
      </c>
      <c r="B448" s="202" t="s">
        <v>1025</v>
      </c>
      <c r="C448" s="93" t="s">
        <v>324</v>
      </c>
      <c r="D448" s="96">
        <v>57</v>
      </c>
      <c r="E448" s="202" t="s">
        <v>1026</v>
      </c>
      <c r="F448" s="93" t="s">
        <v>1027</v>
      </c>
      <c r="G448" s="9" t="s">
        <v>43</v>
      </c>
      <c r="H448" s="9" t="s">
        <v>1022</v>
      </c>
      <c r="I448" s="9" t="s">
        <v>935</v>
      </c>
    </row>
    <row r="449" spans="1:9" ht="126">
      <c r="A449" s="238">
        <v>447</v>
      </c>
      <c r="B449" s="202" t="s">
        <v>1025</v>
      </c>
      <c r="C449" s="93" t="s">
        <v>324</v>
      </c>
      <c r="D449" s="93" t="s">
        <v>1028</v>
      </c>
      <c r="E449" s="202" t="s">
        <v>1029</v>
      </c>
      <c r="F449" s="93" t="s">
        <v>1030</v>
      </c>
      <c r="G449" s="9" t="s">
        <v>43</v>
      </c>
      <c r="H449" s="9" t="s">
        <v>19</v>
      </c>
      <c r="I449" s="9" t="s">
        <v>935</v>
      </c>
    </row>
    <row r="450" spans="1:9" ht="72">
      <c r="A450" s="238">
        <v>448</v>
      </c>
      <c r="B450" s="202" t="s">
        <v>1031</v>
      </c>
      <c r="C450" s="94" t="s">
        <v>602</v>
      </c>
      <c r="D450" s="93" t="s">
        <v>991</v>
      </c>
      <c r="E450" s="202" t="s">
        <v>1032</v>
      </c>
      <c r="F450" s="94">
        <v>0</v>
      </c>
      <c r="G450" s="9" t="s">
        <v>43</v>
      </c>
      <c r="H450" s="9" t="s">
        <v>990</v>
      </c>
      <c r="I450" s="9" t="s">
        <v>935</v>
      </c>
    </row>
    <row r="451" spans="1:9" ht="72">
      <c r="A451" s="238">
        <v>449</v>
      </c>
      <c r="B451" s="29" t="s">
        <v>464</v>
      </c>
      <c r="C451" s="94" t="s">
        <v>602</v>
      </c>
      <c r="D451" s="93" t="s">
        <v>1033</v>
      </c>
      <c r="E451" s="202" t="s">
        <v>1034</v>
      </c>
      <c r="F451" s="94" t="s">
        <v>1035</v>
      </c>
      <c r="G451" s="9" t="s">
        <v>43</v>
      </c>
      <c r="H451" s="9" t="s">
        <v>1036</v>
      </c>
      <c r="I451" s="9" t="s">
        <v>935</v>
      </c>
    </row>
    <row r="452" spans="1:9" ht="72">
      <c r="A452" s="238">
        <v>450</v>
      </c>
      <c r="B452" s="202" t="s">
        <v>1037</v>
      </c>
      <c r="C452" s="94" t="s">
        <v>602</v>
      </c>
      <c r="D452" s="93" t="s">
        <v>1038</v>
      </c>
      <c r="E452" s="202" t="s">
        <v>1034</v>
      </c>
      <c r="F452" s="94" t="s">
        <v>1039</v>
      </c>
      <c r="G452" s="9" t="s">
        <v>43</v>
      </c>
      <c r="H452" s="9" t="s">
        <v>1036</v>
      </c>
      <c r="I452" s="9" t="s">
        <v>935</v>
      </c>
    </row>
    <row r="453" spans="1:9" ht="72">
      <c r="A453" s="238">
        <v>451</v>
      </c>
      <c r="B453" s="202" t="s">
        <v>1037</v>
      </c>
      <c r="C453" s="94" t="s">
        <v>602</v>
      </c>
      <c r="D453" s="93" t="s">
        <v>1040</v>
      </c>
      <c r="E453" s="203" t="s">
        <v>1041</v>
      </c>
      <c r="F453" s="94">
        <v>0</v>
      </c>
      <c r="G453" s="9" t="s">
        <v>43</v>
      </c>
      <c r="H453" s="9" t="s">
        <v>990</v>
      </c>
      <c r="I453" s="9" t="s">
        <v>935</v>
      </c>
    </row>
    <row r="454" spans="1:9" ht="72">
      <c r="A454" s="238">
        <v>452</v>
      </c>
      <c r="B454" s="202" t="s">
        <v>1037</v>
      </c>
      <c r="C454" s="94" t="s">
        <v>602</v>
      </c>
      <c r="D454" s="93" t="s">
        <v>1042</v>
      </c>
      <c r="E454" s="202" t="s">
        <v>1032</v>
      </c>
      <c r="F454" s="94">
        <v>0</v>
      </c>
      <c r="G454" s="9" t="s">
        <v>43</v>
      </c>
      <c r="H454" s="9" t="s">
        <v>990</v>
      </c>
      <c r="I454" s="9" t="s">
        <v>935</v>
      </c>
    </row>
    <row r="455" spans="1:9" ht="90">
      <c r="A455" s="238">
        <v>453</v>
      </c>
      <c r="B455" s="202" t="s">
        <v>1043</v>
      </c>
      <c r="C455" s="94" t="s">
        <v>602</v>
      </c>
      <c r="D455" s="93" t="s">
        <v>1044</v>
      </c>
      <c r="E455" s="202" t="s">
        <v>1045</v>
      </c>
      <c r="F455" s="94" t="s">
        <v>1046</v>
      </c>
      <c r="G455" s="9" t="s">
        <v>43</v>
      </c>
      <c r="H455" s="9" t="s">
        <v>19</v>
      </c>
      <c r="I455" s="9" t="s">
        <v>935</v>
      </c>
    </row>
    <row r="456" spans="1:9" ht="72">
      <c r="A456" s="238">
        <v>454</v>
      </c>
      <c r="B456" s="202" t="s">
        <v>1043</v>
      </c>
      <c r="C456" s="94" t="s">
        <v>602</v>
      </c>
      <c r="D456" s="93" t="s">
        <v>1047</v>
      </c>
      <c r="E456" s="203" t="s">
        <v>1041</v>
      </c>
      <c r="F456" s="94">
        <v>0</v>
      </c>
      <c r="G456" s="9" t="s">
        <v>43</v>
      </c>
      <c r="H456" s="9" t="s">
        <v>47</v>
      </c>
      <c r="I456" s="9" t="s">
        <v>935</v>
      </c>
    </row>
    <row r="457" spans="1:9" ht="90">
      <c r="A457" s="238">
        <v>455</v>
      </c>
      <c r="B457" s="202" t="s">
        <v>305</v>
      </c>
      <c r="C457" s="94" t="s">
        <v>602</v>
      </c>
      <c r="D457" s="93" t="s">
        <v>1048</v>
      </c>
      <c r="E457" s="202" t="s">
        <v>1045</v>
      </c>
      <c r="F457" s="94" t="s">
        <v>1049</v>
      </c>
      <c r="G457" s="9" t="s">
        <v>43</v>
      </c>
      <c r="H457" s="9" t="s">
        <v>19</v>
      </c>
      <c r="I457" s="9" t="s">
        <v>935</v>
      </c>
    </row>
    <row r="458" spans="1:9" ht="72">
      <c r="A458" s="238">
        <v>456</v>
      </c>
      <c r="B458" s="202" t="s">
        <v>305</v>
      </c>
      <c r="C458" s="94" t="s">
        <v>602</v>
      </c>
      <c r="D458" s="93" t="s">
        <v>1050</v>
      </c>
      <c r="E458" s="203" t="s">
        <v>1041</v>
      </c>
      <c r="F458" s="94">
        <v>0</v>
      </c>
      <c r="G458" s="9" t="s">
        <v>43</v>
      </c>
      <c r="H458" s="9" t="s">
        <v>47</v>
      </c>
      <c r="I458" s="9" t="s">
        <v>935</v>
      </c>
    </row>
    <row r="459" spans="1:9" ht="90">
      <c r="A459" s="238">
        <v>457</v>
      </c>
      <c r="B459" s="202" t="s">
        <v>305</v>
      </c>
      <c r="C459" s="94" t="s">
        <v>602</v>
      </c>
      <c r="D459" s="93" t="s">
        <v>1051</v>
      </c>
      <c r="E459" s="202" t="s">
        <v>1052</v>
      </c>
      <c r="F459" s="94">
        <v>0</v>
      </c>
      <c r="G459" s="9" t="s">
        <v>43</v>
      </c>
      <c r="H459" s="9" t="s">
        <v>47</v>
      </c>
      <c r="I459" s="9" t="s">
        <v>935</v>
      </c>
    </row>
    <row r="460" spans="1:9" ht="72">
      <c r="A460" s="238">
        <v>458</v>
      </c>
      <c r="B460" s="202" t="s">
        <v>286</v>
      </c>
      <c r="C460" s="94" t="s">
        <v>602</v>
      </c>
      <c r="D460" s="93">
        <v>66</v>
      </c>
      <c r="E460" s="202" t="s">
        <v>1053</v>
      </c>
      <c r="F460" s="94" t="s">
        <v>1054</v>
      </c>
      <c r="G460" s="9" t="s">
        <v>43</v>
      </c>
      <c r="H460" s="9" t="s">
        <v>47</v>
      </c>
      <c r="I460" s="9" t="s">
        <v>935</v>
      </c>
    </row>
    <row r="461" spans="1:9" ht="63">
      <c r="A461" s="238">
        <v>459</v>
      </c>
      <c r="B461" s="40" t="s">
        <v>1055</v>
      </c>
      <c r="C461" s="9" t="s">
        <v>602</v>
      </c>
      <c r="D461" s="13">
        <v>67</v>
      </c>
      <c r="E461" s="40" t="s">
        <v>1056</v>
      </c>
      <c r="F461" s="9" t="s">
        <v>1057</v>
      </c>
      <c r="G461" s="9" t="s">
        <v>43</v>
      </c>
      <c r="H461" s="9" t="s">
        <v>1058</v>
      </c>
      <c r="I461" s="9" t="s">
        <v>935</v>
      </c>
    </row>
    <row r="462" spans="1:9" ht="78.75">
      <c r="A462" s="238">
        <v>460</v>
      </c>
      <c r="B462" s="40" t="s">
        <v>1055</v>
      </c>
      <c r="C462" s="9" t="s">
        <v>602</v>
      </c>
      <c r="D462" s="13" t="s">
        <v>1059</v>
      </c>
      <c r="E462" s="40" t="s">
        <v>1052</v>
      </c>
      <c r="F462" s="9">
        <v>0</v>
      </c>
      <c r="G462" s="9" t="s">
        <v>43</v>
      </c>
      <c r="H462" s="9" t="s">
        <v>47</v>
      </c>
      <c r="I462" s="9" t="s">
        <v>935</v>
      </c>
    </row>
    <row r="463" spans="1:9" ht="63">
      <c r="A463" s="238">
        <v>461</v>
      </c>
      <c r="B463" s="40" t="s">
        <v>1060</v>
      </c>
      <c r="C463" s="9" t="s">
        <v>602</v>
      </c>
      <c r="D463" s="13" t="s">
        <v>1061</v>
      </c>
      <c r="E463" s="40" t="s">
        <v>1045</v>
      </c>
      <c r="F463" s="9" t="s">
        <v>1062</v>
      </c>
      <c r="G463" s="9" t="s">
        <v>43</v>
      </c>
      <c r="H463" s="9" t="s">
        <v>19</v>
      </c>
      <c r="I463" s="9" t="s">
        <v>935</v>
      </c>
    </row>
    <row r="464" spans="1:9" ht="132">
      <c r="A464" s="238">
        <v>462</v>
      </c>
      <c r="B464" s="29" t="s">
        <v>322</v>
      </c>
      <c r="C464" s="37" t="s">
        <v>317</v>
      </c>
      <c r="D464" s="37">
        <v>20</v>
      </c>
      <c r="E464" s="29" t="s">
        <v>1063</v>
      </c>
      <c r="F464" s="27" t="s">
        <v>1064</v>
      </c>
      <c r="G464" s="9" t="s">
        <v>43</v>
      </c>
      <c r="H464" s="27"/>
      <c r="I464" s="9" t="s">
        <v>935</v>
      </c>
    </row>
    <row r="465" spans="1:9" ht="47.25">
      <c r="A465" s="238">
        <v>463</v>
      </c>
      <c r="B465" s="29" t="s">
        <v>457</v>
      </c>
      <c r="C465" s="9" t="s">
        <v>1065</v>
      </c>
      <c r="D465" s="46" t="s">
        <v>1066</v>
      </c>
      <c r="E465" s="47" t="s">
        <v>1067</v>
      </c>
      <c r="F465" s="9">
        <v>0</v>
      </c>
      <c r="G465" s="9" t="s">
        <v>43</v>
      </c>
      <c r="H465" s="78"/>
      <c r="I465" s="9" t="s">
        <v>935</v>
      </c>
    </row>
    <row r="466" spans="1:9" ht="47.25">
      <c r="A466" s="238">
        <v>464</v>
      </c>
      <c r="B466" s="29" t="s">
        <v>464</v>
      </c>
      <c r="C466" s="13" t="s">
        <v>1065</v>
      </c>
      <c r="D466" s="48">
        <v>79</v>
      </c>
      <c r="E466" s="40" t="s">
        <v>1068</v>
      </c>
      <c r="F466" s="13" t="s">
        <v>1069</v>
      </c>
      <c r="G466" s="9" t="s">
        <v>43</v>
      </c>
      <c r="H466" s="78"/>
      <c r="I466" s="9" t="s">
        <v>935</v>
      </c>
    </row>
    <row r="467" spans="1:9" ht="47.25">
      <c r="A467" s="238">
        <v>465</v>
      </c>
      <c r="B467" s="29" t="s">
        <v>501</v>
      </c>
      <c r="C467" s="9" t="s">
        <v>1065</v>
      </c>
      <c r="D467" s="46" t="s">
        <v>1070</v>
      </c>
      <c r="E467" s="47" t="s">
        <v>1071</v>
      </c>
      <c r="F467" s="9" t="s">
        <v>1072</v>
      </c>
      <c r="G467" s="9" t="s">
        <v>43</v>
      </c>
      <c r="H467" s="78"/>
      <c r="I467" s="9" t="s">
        <v>935</v>
      </c>
    </row>
    <row r="468" spans="1:9" ht="63">
      <c r="A468" s="238">
        <v>466</v>
      </c>
      <c r="B468" s="29" t="s">
        <v>501</v>
      </c>
      <c r="C468" s="9" t="s">
        <v>1065</v>
      </c>
      <c r="D468" s="46">
        <v>96</v>
      </c>
      <c r="E468" s="47" t="s">
        <v>1073</v>
      </c>
      <c r="F468" s="9" t="s">
        <v>1074</v>
      </c>
      <c r="G468" s="9" t="s">
        <v>43</v>
      </c>
      <c r="H468" s="78"/>
      <c r="I468" s="9" t="s">
        <v>935</v>
      </c>
    </row>
    <row r="469" spans="1:9" ht="49.5">
      <c r="A469" s="238">
        <v>467</v>
      </c>
      <c r="B469" s="29" t="s">
        <v>483</v>
      </c>
      <c r="C469" s="13" t="s">
        <v>1065</v>
      </c>
      <c r="D469" s="48">
        <v>80</v>
      </c>
      <c r="E469" s="40" t="s">
        <v>1075</v>
      </c>
      <c r="F469" s="13" t="s">
        <v>1076</v>
      </c>
      <c r="G469" s="9" t="s">
        <v>43</v>
      </c>
      <c r="H469" s="78"/>
      <c r="I469" s="9" t="s">
        <v>935</v>
      </c>
    </row>
    <row r="470" spans="1:9" ht="78.75">
      <c r="A470" s="238">
        <v>468</v>
      </c>
      <c r="B470" s="29" t="s">
        <v>464</v>
      </c>
      <c r="C470" s="9" t="s">
        <v>801</v>
      </c>
      <c r="D470" s="35">
        <v>122</v>
      </c>
      <c r="E470" s="40" t="s">
        <v>1077</v>
      </c>
      <c r="F470" s="54">
        <v>5837622</v>
      </c>
      <c r="G470" s="9" t="s">
        <v>43</v>
      </c>
      <c r="H470" s="78"/>
      <c r="I470" s="9" t="s">
        <v>935</v>
      </c>
    </row>
    <row r="471" spans="1:9" ht="63">
      <c r="A471" s="238">
        <v>469</v>
      </c>
      <c r="B471" s="29" t="s">
        <v>811</v>
      </c>
      <c r="C471" s="9" t="s">
        <v>801</v>
      </c>
      <c r="D471" s="48">
        <v>123</v>
      </c>
      <c r="E471" s="40" t="s">
        <v>1078</v>
      </c>
      <c r="F471" s="191">
        <v>5215294</v>
      </c>
      <c r="G471" s="9" t="s">
        <v>43</v>
      </c>
      <c r="H471" s="78"/>
      <c r="I471" s="9" t="s">
        <v>935</v>
      </c>
    </row>
    <row r="472" spans="1:9" ht="40.5">
      <c r="A472" s="238">
        <v>470</v>
      </c>
      <c r="B472" s="127" t="s">
        <v>1103</v>
      </c>
      <c r="C472" s="225" t="s">
        <v>277</v>
      </c>
      <c r="D472" s="226">
        <v>1</v>
      </c>
      <c r="E472" s="208" t="s">
        <v>1104</v>
      </c>
      <c r="F472" s="192">
        <v>9772165</v>
      </c>
      <c r="G472" s="7" t="s">
        <v>11</v>
      </c>
      <c r="H472" s="225" t="s">
        <v>1105</v>
      </c>
      <c r="I472" s="9" t="s">
        <v>1342</v>
      </c>
    </row>
    <row r="473" spans="1:9" ht="27">
      <c r="A473" s="238">
        <v>471</v>
      </c>
      <c r="B473" s="127" t="s">
        <v>1103</v>
      </c>
      <c r="C473" s="225" t="s">
        <v>1106</v>
      </c>
      <c r="D473" s="225" t="s">
        <v>1107</v>
      </c>
      <c r="E473" s="208" t="s">
        <v>1108</v>
      </c>
      <c r="F473" s="192">
        <v>19419</v>
      </c>
      <c r="G473" s="7" t="s">
        <v>11</v>
      </c>
      <c r="H473" s="225" t="s">
        <v>77</v>
      </c>
      <c r="I473" s="9" t="s">
        <v>1342</v>
      </c>
    </row>
    <row r="474" spans="1:9" ht="27">
      <c r="A474" s="238">
        <v>472</v>
      </c>
      <c r="B474" s="127" t="s">
        <v>1103</v>
      </c>
      <c r="C474" s="225" t="s">
        <v>1109</v>
      </c>
      <c r="D474" s="226">
        <v>1</v>
      </c>
      <c r="E474" s="208" t="s">
        <v>1110</v>
      </c>
      <c r="F474" s="192">
        <v>1134127</v>
      </c>
      <c r="G474" s="7" t="s">
        <v>11</v>
      </c>
      <c r="H474" s="225" t="s">
        <v>47</v>
      </c>
      <c r="I474" s="9" t="s">
        <v>1342</v>
      </c>
    </row>
    <row r="475" spans="1:9" ht="40.5">
      <c r="A475" s="238">
        <v>473</v>
      </c>
      <c r="B475" s="127" t="s">
        <v>1103</v>
      </c>
      <c r="C475" s="225" t="s">
        <v>104</v>
      </c>
      <c r="D475" s="226">
        <v>1</v>
      </c>
      <c r="E475" s="208" t="s">
        <v>1111</v>
      </c>
      <c r="F475" s="192">
        <v>963616</v>
      </c>
      <c r="G475" s="7" t="s">
        <v>11</v>
      </c>
      <c r="H475" s="225" t="s">
        <v>47</v>
      </c>
      <c r="I475" s="9" t="s">
        <v>1342</v>
      </c>
    </row>
    <row r="476" spans="1:9" ht="40.5">
      <c r="A476" s="238">
        <v>474</v>
      </c>
      <c r="B476" s="127" t="s">
        <v>1103</v>
      </c>
      <c r="C476" s="225" t="s">
        <v>9</v>
      </c>
      <c r="D476" s="226" t="s">
        <v>1112</v>
      </c>
      <c r="E476" s="208" t="s">
        <v>1113</v>
      </c>
      <c r="F476" s="192">
        <v>3014289</v>
      </c>
      <c r="G476" s="7" t="s">
        <v>11</v>
      </c>
      <c r="H476" s="225" t="s">
        <v>29</v>
      </c>
      <c r="I476" s="9" t="s">
        <v>1342</v>
      </c>
    </row>
    <row r="477" spans="1:9" ht="40.5">
      <c r="A477" s="238">
        <v>475</v>
      </c>
      <c r="B477" s="127" t="s">
        <v>1103</v>
      </c>
      <c r="C477" s="225" t="s">
        <v>9</v>
      </c>
      <c r="D477" s="226" t="s">
        <v>1114</v>
      </c>
      <c r="E477" s="208" t="s">
        <v>1115</v>
      </c>
      <c r="F477" s="192">
        <v>807448</v>
      </c>
      <c r="G477" s="7" t="s">
        <v>11</v>
      </c>
      <c r="H477" s="225" t="s">
        <v>1116</v>
      </c>
      <c r="I477" s="9" t="s">
        <v>1342</v>
      </c>
    </row>
    <row r="478" spans="1:9" ht="54">
      <c r="A478" s="238">
        <v>476</v>
      </c>
      <c r="B478" s="127" t="s">
        <v>1103</v>
      </c>
      <c r="C478" s="225" t="s">
        <v>13</v>
      </c>
      <c r="D478" s="226">
        <v>50</v>
      </c>
      <c r="E478" s="208" t="s">
        <v>1117</v>
      </c>
      <c r="F478" s="192">
        <v>775130</v>
      </c>
      <c r="G478" s="7" t="s">
        <v>11</v>
      </c>
      <c r="H478" s="225" t="s">
        <v>44</v>
      </c>
      <c r="I478" s="9" t="s">
        <v>1342</v>
      </c>
    </row>
    <row r="479" spans="1:9" ht="40.5">
      <c r="A479" s="238">
        <v>477</v>
      </c>
      <c r="B479" s="127" t="s">
        <v>1103</v>
      </c>
      <c r="C479" s="225" t="s">
        <v>13</v>
      </c>
      <c r="D479" s="226">
        <v>33.1</v>
      </c>
      <c r="E479" s="208" t="s">
        <v>1118</v>
      </c>
      <c r="F479" s="192">
        <v>2904750</v>
      </c>
      <c r="G479" s="7" t="s">
        <v>11</v>
      </c>
      <c r="H479" s="225" t="s">
        <v>12</v>
      </c>
      <c r="I479" s="9" t="s">
        <v>1342</v>
      </c>
    </row>
    <row r="480" spans="1:9" ht="40.5">
      <c r="A480" s="238">
        <v>478</v>
      </c>
      <c r="B480" s="127" t="s">
        <v>1103</v>
      </c>
      <c r="C480" s="225" t="s">
        <v>13</v>
      </c>
      <c r="D480" s="226">
        <v>13.1</v>
      </c>
      <c r="E480" s="208" t="s">
        <v>1119</v>
      </c>
      <c r="F480" s="192">
        <v>3366329</v>
      </c>
      <c r="G480" s="7" t="s">
        <v>11</v>
      </c>
      <c r="H480" s="225" t="s">
        <v>29</v>
      </c>
      <c r="I480" s="9" t="s">
        <v>1342</v>
      </c>
    </row>
    <row r="481" spans="1:9" ht="40.5">
      <c r="A481" s="238">
        <v>479</v>
      </c>
      <c r="B481" s="127" t="s">
        <v>1103</v>
      </c>
      <c r="C481" s="225" t="s">
        <v>13</v>
      </c>
      <c r="D481" s="226">
        <v>47.7</v>
      </c>
      <c r="E481" s="208" t="s">
        <v>1120</v>
      </c>
      <c r="F481" s="192">
        <v>1211821</v>
      </c>
      <c r="G481" s="7" t="s">
        <v>11</v>
      </c>
      <c r="H481" s="225" t="s">
        <v>12</v>
      </c>
      <c r="I481" s="9" t="s">
        <v>1342</v>
      </c>
    </row>
    <row r="482" spans="1:9" ht="40.5">
      <c r="A482" s="238">
        <v>480</v>
      </c>
      <c r="B482" s="127" t="s">
        <v>1103</v>
      </c>
      <c r="C482" s="225" t="s">
        <v>703</v>
      </c>
      <c r="D482" s="226">
        <v>16.2</v>
      </c>
      <c r="E482" s="209" t="s">
        <v>1121</v>
      </c>
      <c r="F482" s="192">
        <v>3489487</v>
      </c>
      <c r="G482" s="7" t="s">
        <v>11</v>
      </c>
      <c r="H482" s="225" t="s">
        <v>29</v>
      </c>
      <c r="I482" s="9" t="s">
        <v>1342</v>
      </c>
    </row>
    <row r="483" spans="1:9" ht="40.5">
      <c r="A483" s="238">
        <v>481</v>
      </c>
      <c r="B483" s="127" t="s">
        <v>1103</v>
      </c>
      <c r="C483" s="225" t="s">
        <v>703</v>
      </c>
      <c r="D483" s="226">
        <v>19.399999999999999</v>
      </c>
      <c r="E483" s="209" t="s">
        <v>1122</v>
      </c>
      <c r="F483" s="192">
        <v>769395</v>
      </c>
      <c r="G483" s="7" t="s">
        <v>11</v>
      </c>
      <c r="H483" s="225" t="s">
        <v>29</v>
      </c>
      <c r="I483" s="9" t="s">
        <v>1342</v>
      </c>
    </row>
    <row r="484" spans="1:9" ht="54">
      <c r="A484" s="238">
        <v>482</v>
      </c>
      <c r="B484" s="127" t="s">
        <v>1103</v>
      </c>
      <c r="C484" s="225" t="s">
        <v>703</v>
      </c>
      <c r="D484" s="226">
        <v>58.2</v>
      </c>
      <c r="E484" s="209" t="s">
        <v>1123</v>
      </c>
      <c r="F484" s="192">
        <v>9586000</v>
      </c>
      <c r="G484" s="7" t="s">
        <v>11</v>
      </c>
      <c r="H484" s="225" t="s">
        <v>47</v>
      </c>
      <c r="I484" s="9" t="s">
        <v>1342</v>
      </c>
    </row>
    <row r="485" spans="1:9" ht="54">
      <c r="A485" s="238">
        <v>483</v>
      </c>
      <c r="B485" s="127" t="s">
        <v>1103</v>
      </c>
      <c r="C485" s="225" t="s">
        <v>703</v>
      </c>
      <c r="D485" s="226">
        <v>65.3</v>
      </c>
      <c r="E485" s="209" t="s">
        <v>1124</v>
      </c>
      <c r="F485" s="192"/>
      <c r="G485" s="7" t="s">
        <v>11</v>
      </c>
      <c r="H485" s="225" t="s">
        <v>47</v>
      </c>
      <c r="I485" s="9" t="s">
        <v>1342</v>
      </c>
    </row>
    <row r="486" spans="1:9" ht="40.5">
      <c r="A486" s="238">
        <v>484</v>
      </c>
      <c r="B486" s="127" t="s">
        <v>1103</v>
      </c>
      <c r="C486" s="225" t="s">
        <v>180</v>
      </c>
      <c r="D486" s="226">
        <v>14.4</v>
      </c>
      <c r="E486" s="208" t="s">
        <v>1125</v>
      </c>
      <c r="F486" s="192">
        <v>9331109</v>
      </c>
      <c r="G486" s="7" t="s">
        <v>11</v>
      </c>
      <c r="H486" s="225" t="s">
        <v>47</v>
      </c>
      <c r="I486" s="9" t="s">
        <v>1342</v>
      </c>
    </row>
    <row r="487" spans="1:9" ht="40.5">
      <c r="A487" s="238">
        <v>485</v>
      </c>
      <c r="B487" s="127" t="s">
        <v>1103</v>
      </c>
      <c r="C487" s="225" t="s">
        <v>180</v>
      </c>
      <c r="D487" s="226">
        <v>47.5</v>
      </c>
      <c r="E487" s="208" t="s">
        <v>1126</v>
      </c>
      <c r="F487" s="192">
        <v>3907860</v>
      </c>
      <c r="G487" s="7" t="s">
        <v>11</v>
      </c>
      <c r="H487" s="225" t="s">
        <v>1127</v>
      </c>
      <c r="I487" s="9" t="s">
        <v>1342</v>
      </c>
    </row>
    <row r="488" spans="1:9" ht="40.5">
      <c r="A488" s="238">
        <v>486</v>
      </c>
      <c r="B488" s="127" t="s">
        <v>1103</v>
      </c>
      <c r="C488" s="225" t="s">
        <v>180</v>
      </c>
      <c r="D488" s="226">
        <v>94.2</v>
      </c>
      <c r="E488" s="208" t="s">
        <v>1128</v>
      </c>
      <c r="F488" s="192">
        <v>998616</v>
      </c>
      <c r="G488" s="7" t="s">
        <v>11</v>
      </c>
      <c r="H488" s="225" t="s">
        <v>1129</v>
      </c>
      <c r="I488" s="9" t="s">
        <v>1342</v>
      </c>
    </row>
    <row r="489" spans="1:9" ht="27">
      <c r="A489" s="238">
        <v>487</v>
      </c>
      <c r="B489" s="127" t="s">
        <v>1130</v>
      </c>
      <c r="C489" s="225" t="s">
        <v>1109</v>
      </c>
      <c r="D489" s="226">
        <v>4</v>
      </c>
      <c r="E489" s="208" t="s">
        <v>1131</v>
      </c>
      <c r="F489" s="192">
        <v>211041</v>
      </c>
      <c r="G489" s="7" t="s">
        <v>11</v>
      </c>
      <c r="H489" s="225" t="s">
        <v>29</v>
      </c>
      <c r="I489" s="9" t="s">
        <v>1342</v>
      </c>
    </row>
    <row r="490" spans="1:9" ht="40.5">
      <c r="A490" s="238">
        <v>488</v>
      </c>
      <c r="B490" s="127" t="s">
        <v>1130</v>
      </c>
      <c r="C490" s="225" t="s">
        <v>1132</v>
      </c>
      <c r="D490" s="226">
        <v>1</v>
      </c>
      <c r="E490" s="208" t="s">
        <v>1133</v>
      </c>
      <c r="F490" s="192">
        <v>650614</v>
      </c>
      <c r="G490" s="7" t="s">
        <v>11</v>
      </c>
      <c r="H490" s="225" t="s">
        <v>29</v>
      </c>
      <c r="I490" s="9" t="s">
        <v>1342</v>
      </c>
    </row>
    <row r="491" spans="1:9" ht="40.5">
      <c r="A491" s="238">
        <v>489</v>
      </c>
      <c r="B491" s="127" t="s">
        <v>1130</v>
      </c>
      <c r="C491" s="225" t="s">
        <v>1132</v>
      </c>
      <c r="D491" s="226">
        <v>6</v>
      </c>
      <c r="E491" s="208" t="s">
        <v>1134</v>
      </c>
      <c r="F491" s="192">
        <v>211080</v>
      </c>
      <c r="G491" s="7" t="s">
        <v>11</v>
      </c>
      <c r="H491" s="225" t="s">
        <v>29</v>
      </c>
      <c r="I491" s="9" t="s">
        <v>1342</v>
      </c>
    </row>
    <row r="492" spans="1:9" ht="40.5">
      <c r="A492" s="238">
        <v>490</v>
      </c>
      <c r="B492" s="127" t="s">
        <v>1130</v>
      </c>
      <c r="C492" s="225" t="s">
        <v>69</v>
      </c>
      <c r="D492" s="226">
        <v>2</v>
      </c>
      <c r="E492" s="208" t="s">
        <v>1135</v>
      </c>
      <c r="F492" s="192">
        <v>59414609</v>
      </c>
      <c r="G492" s="7" t="s">
        <v>11</v>
      </c>
      <c r="H492" s="225" t="s">
        <v>29</v>
      </c>
      <c r="I492" s="9" t="s">
        <v>1342</v>
      </c>
    </row>
    <row r="493" spans="1:9" ht="27">
      <c r="A493" s="238">
        <v>491</v>
      </c>
      <c r="B493" s="127" t="s">
        <v>1130</v>
      </c>
      <c r="C493" s="225" t="s">
        <v>269</v>
      </c>
      <c r="D493" s="226">
        <v>1</v>
      </c>
      <c r="E493" s="208" t="s">
        <v>1136</v>
      </c>
      <c r="F493" s="192">
        <v>70986</v>
      </c>
      <c r="G493" s="7" t="s">
        <v>11</v>
      </c>
      <c r="H493" s="225" t="s">
        <v>44</v>
      </c>
      <c r="I493" s="9" t="s">
        <v>1342</v>
      </c>
    </row>
    <row r="494" spans="1:9" ht="27">
      <c r="A494" s="238">
        <v>492</v>
      </c>
      <c r="B494" s="127" t="s">
        <v>1130</v>
      </c>
      <c r="C494" s="225" t="s">
        <v>269</v>
      </c>
      <c r="D494" s="226">
        <v>4</v>
      </c>
      <c r="E494" s="208" t="s">
        <v>1137</v>
      </c>
      <c r="F494" s="192">
        <v>7128206</v>
      </c>
      <c r="G494" s="7" t="s">
        <v>11</v>
      </c>
      <c r="H494" s="225" t="s">
        <v>87</v>
      </c>
      <c r="I494" s="9" t="s">
        <v>1342</v>
      </c>
    </row>
    <row r="495" spans="1:9" ht="27">
      <c r="A495" s="238">
        <v>493</v>
      </c>
      <c r="B495" s="127" t="s">
        <v>1130</v>
      </c>
      <c r="C495" s="225" t="s">
        <v>271</v>
      </c>
      <c r="D495" s="226">
        <v>1</v>
      </c>
      <c r="E495" s="208" t="s">
        <v>1138</v>
      </c>
      <c r="F495" s="192">
        <v>8279657</v>
      </c>
      <c r="G495" s="7" t="s">
        <v>11</v>
      </c>
      <c r="H495" s="225" t="s">
        <v>29</v>
      </c>
      <c r="I495" s="9" t="s">
        <v>1342</v>
      </c>
    </row>
    <row r="496" spans="1:9" ht="27">
      <c r="A496" s="238">
        <v>494</v>
      </c>
      <c r="B496" s="127" t="s">
        <v>1130</v>
      </c>
      <c r="C496" s="225" t="s">
        <v>271</v>
      </c>
      <c r="D496" s="226">
        <v>2</v>
      </c>
      <c r="E496" s="208" t="s">
        <v>1139</v>
      </c>
      <c r="F496" s="192">
        <v>8190858</v>
      </c>
      <c r="G496" s="7" t="s">
        <v>11</v>
      </c>
      <c r="H496" s="225" t="s">
        <v>1022</v>
      </c>
      <c r="I496" s="9" t="s">
        <v>1342</v>
      </c>
    </row>
    <row r="497" spans="1:9" ht="40.5">
      <c r="A497" s="238">
        <v>495</v>
      </c>
      <c r="B497" s="127" t="s">
        <v>1130</v>
      </c>
      <c r="C497" s="225" t="s">
        <v>271</v>
      </c>
      <c r="D497" s="226">
        <v>3</v>
      </c>
      <c r="E497" s="208" t="s">
        <v>1140</v>
      </c>
      <c r="F497" s="192">
        <v>4706980</v>
      </c>
      <c r="G497" s="7" t="s">
        <v>11</v>
      </c>
      <c r="H497" s="225" t="s">
        <v>29</v>
      </c>
      <c r="I497" s="9" t="s">
        <v>1342</v>
      </c>
    </row>
    <row r="498" spans="1:9" ht="40.5">
      <c r="A498" s="238">
        <v>496</v>
      </c>
      <c r="B498" s="127" t="s">
        <v>1130</v>
      </c>
      <c r="C498" s="225" t="s">
        <v>271</v>
      </c>
      <c r="D498" s="226">
        <v>5</v>
      </c>
      <c r="E498" s="208" t="s">
        <v>1141</v>
      </c>
      <c r="F498" s="192">
        <v>44263</v>
      </c>
      <c r="G498" s="7" t="s">
        <v>11</v>
      </c>
      <c r="H498" s="225" t="s">
        <v>1022</v>
      </c>
      <c r="I498" s="9" t="s">
        <v>1342</v>
      </c>
    </row>
    <row r="499" spans="1:9" ht="40.5">
      <c r="A499" s="238">
        <v>497</v>
      </c>
      <c r="B499" s="127" t="s">
        <v>1130</v>
      </c>
      <c r="C499" s="225" t="s">
        <v>80</v>
      </c>
      <c r="D499" s="226">
        <v>1</v>
      </c>
      <c r="E499" s="208" t="s">
        <v>1142</v>
      </c>
      <c r="F499" s="192">
        <v>6634572</v>
      </c>
      <c r="G499" s="7" t="s">
        <v>11</v>
      </c>
      <c r="H499" s="225" t="s">
        <v>12</v>
      </c>
      <c r="I499" s="9" t="s">
        <v>1342</v>
      </c>
    </row>
    <row r="500" spans="1:9" ht="27">
      <c r="A500" s="238">
        <v>498</v>
      </c>
      <c r="B500" s="127" t="s">
        <v>1130</v>
      </c>
      <c r="C500" s="225" t="s">
        <v>1143</v>
      </c>
      <c r="D500" s="226">
        <v>8</v>
      </c>
      <c r="E500" s="208" t="s">
        <v>1144</v>
      </c>
      <c r="F500" s="192">
        <v>4267633</v>
      </c>
      <c r="G500" s="7" t="s">
        <v>11</v>
      </c>
      <c r="H500" s="225" t="s">
        <v>12</v>
      </c>
      <c r="I500" s="9" t="s">
        <v>1342</v>
      </c>
    </row>
    <row r="501" spans="1:9" ht="27">
      <c r="A501" s="238">
        <v>499</v>
      </c>
      <c r="B501" s="127" t="s">
        <v>1130</v>
      </c>
      <c r="C501" s="225" t="s">
        <v>1143</v>
      </c>
      <c r="D501" s="226">
        <v>9</v>
      </c>
      <c r="E501" s="208" t="s">
        <v>1145</v>
      </c>
      <c r="F501" s="192">
        <v>6152760</v>
      </c>
      <c r="G501" s="7" t="s">
        <v>11</v>
      </c>
      <c r="H501" s="225" t="s">
        <v>12</v>
      </c>
      <c r="I501" s="9" t="s">
        <v>1342</v>
      </c>
    </row>
    <row r="502" spans="1:9" ht="54">
      <c r="A502" s="238">
        <v>500</v>
      </c>
      <c r="B502" s="127" t="s">
        <v>1130</v>
      </c>
      <c r="C502" s="225" t="s">
        <v>1143</v>
      </c>
      <c r="D502" s="226">
        <v>32</v>
      </c>
      <c r="E502" s="208" t="s">
        <v>1146</v>
      </c>
      <c r="F502" s="192">
        <v>1136123</v>
      </c>
      <c r="G502" s="7" t="s">
        <v>11</v>
      </c>
      <c r="H502" s="225" t="s">
        <v>19</v>
      </c>
      <c r="I502" s="9" t="s">
        <v>1342</v>
      </c>
    </row>
    <row r="503" spans="1:9" ht="40.5">
      <c r="A503" s="238">
        <v>501</v>
      </c>
      <c r="B503" s="127" t="s">
        <v>1130</v>
      </c>
      <c r="C503" s="225" t="s">
        <v>13</v>
      </c>
      <c r="D503" s="226">
        <v>40.119999999999997</v>
      </c>
      <c r="E503" s="208" t="s">
        <v>1147</v>
      </c>
      <c r="F503" s="192">
        <v>3486898</v>
      </c>
      <c r="G503" s="7" t="s">
        <v>11</v>
      </c>
      <c r="H503" s="225" t="s">
        <v>29</v>
      </c>
      <c r="I503" s="9" t="s">
        <v>1342</v>
      </c>
    </row>
    <row r="504" spans="1:9" ht="54">
      <c r="A504" s="238">
        <v>502</v>
      </c>
      <c r="B504" s="127" t="s">
        <v>1130</v>
      </c>
      <c r="C504" s="225" t="s">
        <v>13</v>
      </c>
      <c r="D504" s="226">
        <v>12.7</v>
      </c>
      <c r="E504" s="208" t="s">
        <v>1148</v>
      </c>
      <c r="F504" s="192">
        <v>305765</v>
      </c>
      <c r="G504" s="7" t="s">
        <v>11</v>
      </c>
      <c r="H504" s="225" t="s">
        <v>29</v>
      </c>
      <c r="I504" s="9" t="s">
        <v>1342</v>
      </c>
    </row>
    <row r="505" spans="1:9" ht="27">
      <c r="A505" s="238">
        <v>503</v>
      </c>
      <c r="B505" s="127" t="s">
        <v>1130</v>
      </c>
      <c r="C505" s="225" t="s">
        <v>13</v>
      </c>
      <c r="D505" s="226">
        <v>47.1</v>
      </c>
      <c r="E505" s="208" t="s">
        <v>1149</v>
      </c>
      <c r="F505" s="192">
        <v>756866</v>
      </c>
      <c r="G505" s="7" t="s">
        <v>11</v>
      </c>
      <c r="H505" s="225" t="s">
        <v>12</v>
      </c>
      <c r="I505" s="9" t="s">
        <v>1342</v>
      </c>
    </row>
    <row r="506" spans="1:9" ht="40.5">
      <c r="A506" s="238">
        <v>504</v>
      </c>
      <c r="B506" s="127" t="s">
        <v>1130</v>
      </c>
      <c r="C506" s="225" t="s">
        <v>1150</v>
      </c>
      <c r="D506" s="226">
        <v>18.3</v>
      </c>
      <c r="E506" s="209" t="s">
        <v>1151</v>
      </c>
      <c r="F506" s="192">
        <v>2981588</v>
      </c>
      <c r="G506" s="7" t="s">
        <v>11</v>
      </c>
      <c r="H506" s="225" t="s">
        <v>29</v>
      </c>
      <c r="I506" s="9" t="s">
        <v>1342</v>
      </c>
    </row>
    <row r="507" spans="1:9" ht="40.5">
      <c r="A507" s="238">
        <v>505</v>
      </c>
      <c r="B507" s="127" t="s">
        <v>1130</v>
      </c>
      <c r="C507" s="225" t="s">
        <v>1150</v>
      </c>
      <c r="D507" s="226">
        <v>19.100000000000001</v>
      </c>
      <c r="E507" s="209" t="s">
        <v>1152</v>
      </c>
      <c r="F507" s="192">
        <v>1637766</v>
      </c>
      <c r="G507" s="7" t="s">
        <v>11</v>
      </c>
      <c r="H507" s="225" t="s">
        <v>29</v>
      </c>
      <c r="I507" s="9" t="s">
        <v>1342</v>
      </c>
    </row>
    <row r="508" spans="1:9" ht="54">
      <c r="A508" s="238">
        <v>506</v>
      </c>
      <c r="B508" s="127" t="s">
        <v>1130</v>
      </c>
      <c r="C508" s="225" t="s">
        <v>1150</v>
      </c>
      <c r="D508" s="226">
        <v>58.1</v>
      </c>
      <c r="E508" s="209" t="s">
        <v>1153</v>
      </c>
      <c r="F508" s="192">
        <v>13769200</v>
      </c>
      <c r="G508" s="7" t="s">
        <v>11</v>
      </c>
      <c r="H508" s="225" t="s">
        <v>47</v>
      </c>
      <c r="I508" s="9" t="s">
        <v>1342</v>
      </c>
    </row>
    <row r="509" spans="1:9" ht="54">
      <c r="A509" s="238">
        <v>507</v>
      </c>
      <c r="B509" s="127" t="s">
        <v>1130</v>
      </c>
      <c r="C509" s="225" t="s">
        <v>1150</v>
      </c>
      <c r="D509" s="226">
        <v>65.099999999999994</v>
      </c>
      <c r="E509" s="209" t="s">
        <v>1124</v>
      </c>
      <c r="F509" s="192">
        <v>0</v>
      </c>
      <c r="G509" s="7" t="s">
        <v>11</v>
      </c>
      <c r="H509" s="225" t="s">
        <v>47</v>
      </c>
      <c r="I509" s="9" t="s">
        <v>1342</v>
      </c>
    </row>
    <row r="510" spans="1:9" ht="40.5">
      <c r="A510" s="238">
        <v>508</v>
      </c>
      <c r="B510" s="127" t="s">
        <v>1130</v>
      </c>
      <c r="C510" s="225" t="s">
        <v>180</v>
      </c>
      <c r="D510" s="226">
        <v>47.6</v>
      </c>
      <c r="E510" s="208" t="s">
        <v>1154</v>
      </c>
      <c r="F510" s="192">
        <v>3584729</v>
      </c>
      <c r="G510" s="7" t="s">
        <v>11</v>
      </c>
      <c r="H510" s="225" t="s">
        <v>29</v>
      </c>
      <c r="I510" s="9" t="s">
        <v>1342</v>
      </c>
    </row>
    <row r="511" spans="1:9" ht="40.5">
      <c r="A511" s="238">
        <v>509</v>
      </c>
      <c r="B511" s="127" t="s">
        <v>1130</v>
      </c>
      <c r="C511" s="225" t="s">
        <v>180</v>
      </c>
      <c r="D511" s="226">
        <v>94.3</v>
      </c>
      <c r="E511" s="208" t="s">
        <v>1155</v>
      </c>
      <c r="F511" s="192">
        <v>399992</v>
      </c>
      <c r="G511" s="7" t="s">
        <v>11</v>
      </c>
      <c r="H511" s="225" t="s">
        <v>1129</v>
      </c>
      <c r="I511" s="9" t="s">
        <v>1342</v>
      </c>
    </row>
    <row r="512" spans="1:9" ht="40.5">
      <c r="A512" s="238">
        <v>510</v>
      </c>
      <c r="B512" s="127" t="s">
        <v>1130</v>
      </c>
      <c r="C512" s="225" t="s">
        <v>180</v>
      </c>
      <c r="D512" s="226">
        <v>100</v>
      </c>
      <c r="E512" s="208" t="s">
        <v>1156</v>
      </c>
      <c r="F512" s="192">
        <v>0</v>
      </c>
      <c r="G512" s="7" t="s">
        <v>11</v>
      </c>
      <c r="H512" s="225" t="s">
        <v>1157</v>
      </c>
      <c r="I512" s="9" t="s">
        <v>1342</v>
      </c>
    </row>
    <row r="513" spans="1:9" ht="40.5">
      <c r="A513" s="238">
        <v>511</v>
      </c>
      <c r="B513" s="234" t="s">
        <v>1158</v>
      </c>
      <c r="C513" s="225" t="s">
        <v>271</v>
      </c>
      <c r="D513" s="226">
        <v>1</v>
      </c>
      <c r="E513" s="208" t="s">
        <v>1159</v>
      </c>
      <c r="F513" s="192">
        <v>13360140</v>
      </c>
      <c r="G513" s="7" t="s">
        <v>11</v>
      </c>
      <c r="H513" s="225" t="s">
        <v>47</v>
      </c>
      <c r="I513" s="9" t="s">
        <v>1342</v>
      </c>
    </row>
    <row r="514" spans="1:9" ht="27">
      <c r="A514" s="238">
        <v>512</v>
      </c>
      <c r="B514" s="234" t="s">
        <v>1158</v>
      </c>
      <c r="C514" s="225" t="s">
        <v>89</v>
      </c>
      <c r="D514" s="226">
        <v>7</v>
      </c>
      <c r="E514" s="208" t="s">
        <v>339</v>
      </c>
      <c r="F514" s="192">
        <v>8007526</v>
      </c>
      <c r="G514" s="7" t="s">
        <v>11</v>
      </c>
      <c r="H514" s="225" t="s">
        <v>19</v>
      </c>
      <c r="I514" s="9" t="s">
        <v>1342</v>
      </c>
    </row>
    <row r="515" spans="1:9" ht="27">
      <c r="A515" s="238">
        <v>513</v>
      </c>
      <c r="B515" s="234" t="s">
        <v>1158</v>
      </c>
      <c r="C515" s="225" t="s">
        <v>89</v>
      </c>
      <c r="D515" s="226">
        <v>8</v>
      </c>
      <c r="E515" s="208" t="s">
        <v>1144</v>
      </c>
      <c r="F515" s="192">
        <v>2397174</v>
      </c>
      <c r="G515" s="7" t="s">
        <v>11</v>
      </c>
      <c r="H515" s="225" t="s">
        <v>12</v>
      </c>
      <c r="I515" s="9" t="s">
        <v>1342</v>
      </c>
    </row>
    <row r="516" spans="1:9" ht="27">
      <c r="A516" s="238">
        <v>514</v>
      </c>
      <c r="B516" s="234" t="s">
        <v>1158</v>
      </c>
      <c r="C516" s="225" t="s">
        <v>89</v>
      </c>
      <c r="D516" s="226">
        <v>10</v>
      </c>
      <c r="E516" s="208" t="s">
        <v>1160</v>
      </c>
      <c r="F516" s="192">
        <v>4750622</v>
      </c>
      <c r="G516" s="7" t="s">
        <v>11</v>
      </c>
      <c r="H516" s="225" t="s">
        <v>29</v>
      </c>
      <c r="I516" s="9" t="s">
        <v>1342</v>
      </c>
    </row>
    <row r="517" spans="1:9" ht="27">
      <c r="A517" s="238">
        <v>515</v>
      </c>
      <c r="B517" s="234" t="s">
        <v>1158</v>
      </c>
      <c r="C517" s="225" t="s">
        <v>89</v>
      </c>
      <c r="D517" s="226">
        <v>28</v>
      </c>
      <c r="E517" s="208" t="s">
        <v>340</v>
      </c>
      <c r="F517" s="192">
        <v>117496</v>
      </c>
      <c r="G517" s="7" t="s">
        <v>11</v>
      </c>
      <c r="H517" s="225" t="s">
        <v>12</v>
      </c>
      <c r="I517" s="9" t="s">
        <v>1342</v>
      </c>
    </row>
    <row r="518" spans="1:9" ht="40.5">
      <c r="A518" s="238">
        <v>516</v>
      </c>
      <c r="B518" s="234" t="s">
        <v>1158</v>
      </c>
      <c r="C518" s="225" t="s">
        <v>89</v>
      </c>
      <c r="D518" s="226">
        <v>29</v>
      </c>
      <c r="E518" s="208" t="s">
        <v>1161</v>
      </c>
      <c r="F518" s="192">
        <v>13346075</v>
      </c>
      <c r="G518" s="7" t="s">
        <v>11</v>
      </c>
      <c r="H518" s="225" t="s">
        <v>47</v>
      </c>
      <c r="I518" s="9" t="s">
        <v>1342</v>
      </c>
    </row>
    <row r="519" spans="1:9" ht="27">
      <c r="A519" s="238">
        <v>517</v>
      </c>
      <c r="B519" s="234" t="s">
        <v>1158</v>
      </c>
      <c r="C519" s="225" t="s">
        <v>89</v>
      </c>
      <c r="D519" s="226">
        <v>41</v>
      </c>
      <c r="E519" s="208" t="s">
        <v>1162</v>
      </c>
      <c r="F519" s="192">
        <v>13357994</v>
      </c>
      <c r="G519" s="7" t="s">
        <v>11</v>
      </c>
      <c r="H519" s="225" t="s">
        <v>29</v>
      </c>
      <c r="I519" s="9" t="s">
        <v>1342</v>
      </c>
    </row>
    <row r="520" spans="1:9" ht="40.5">
      <c r="A520" s="238">
        <v>518</v>
      </c>
      <c r="B520" s="234" t="s">
        <v>1158</v>
      </c>
      <c r="C520" s="225" t="s">
        <v>9</v>
      </c>
      <c r="D520" s="226" t="s">
        <v>1163</v>
      </c>
      <c r="E520" s="208" t="s">
        <v>1113</v>
      </c>
      <c r="F520" s="192">
        <v>1752068</v>
      </c>
      <c r="G520" s="7" t="s">
        <v>11</v>
      </c>
      <c r="H520" s="225" t="s">
        <v>29</v>
      </c>
      <c r="I520" s="9" t="s">
        <v>1342</v>
      </c>
    </row>
    <row r="521" spans="1:9" ht="27">
      <c r="A521" s="238">
        <v>519</v>
      </c>
      <c r="B521" s="234" t="s">
        <v>1158</v>
      </c>
      <c r="C521" s="225" t="s">
        <v>9</v>
      </c>
      <c r="D521" s="226" t="s">
        <v>1164</v>
      </c>
      <c r="E521" s="208" t="s">
        <v>1165</v>
      </c>
      <c r="F521" s="192">
        <v>12094350</v>
      </c>
      <c r="G521" s="7" t="s">
        <v>11</v>
      </c>
      <c r="H521" s="225" t="s">
        <v>29</v>
      </c>
      <c r="I521" s="9" t="s">
        <v>1342</v>
      </c>
    </row>
    <row r="522" spans="1:9" ht="40.5">
      <c r="A522" s="238">
        <v>520</v>
      </c>
      <c r="B522" s="234" t="s">
        <v>1158</v>
      </c>
      <c r="C522" s="225" t="s">
        <v>9</v>
      </c>
      <c r="D522" s="226" t="s">
        <v>1166</v>
      </c>
      <c r="E522" s="208" t="s">
        <v>1115</v>
      </c>
      <c r="F522" s="192">
        <v>2064489</v>
      </c>
      <c r="G522" s="7" t="s">
        <v>11</v>
      </c>
      <c r="H522" s="225" t="s">
        <v>1116</v>
      </c>
      <c r="I522" s="9" t="s">
        <v>1342</v>
      </c>
    </row>
    <row r="523" spans="1:9" ht="54">
      <c r="A523" s="238">
        <v>521</v>
      </c>
      <c r="B523" s="234" t="s">
        <v>1158</v>
      </c>
      <c r="C523" s="225" t="s">
        <v>180</v>
      </c>
      <c r="D523" s="226">
        <v>24.11</v>
      </c>
      <c r="E523" s="208" t="s">
        <v>184</v>
      </c>
      <c r="F523" s="192">
        <v>2628940</v>
      </c>
      <c r="G523" s="7" t="s">
        <v>11</v>
      </c>
      <c r="H523" s="225" t="s">
        <v>1167</v>
      </c>
      <c r="I523" s="9" t="s">
        <v>1342</v>
      </c>
    </row>
    <row r="524" spans="1:9" ht="54">
      <c r="A524" s="238">
        <v>522</v>
      </c>
      <c r="B524" s="234" t="s">
        <v>1158</v>
      </c>
      <c r="C524" s="225" t="s">
        <v>180</v>
      </c>
      <c r="D524" s="226">
        <v>55.8</v>
      </c>
      <c r="E524" s="208" t="s">
        <v>1168</v>
      </c>
      <c r="F524" s="192">
        <v>16235400</v>
      </c>
      <c r="G524" s="7" t="s">
        <v>11</v>
      </c>
      <c r="H524" s="225" t="s">
        <v>990</v>
      </c>
      <c r="I524" s="9" t="s">
        <v>1342</v>
      </c>
    </row>
    <row r="525" spans="1:9" ht="40.5">
      <c r="A525" s="238">
        <v>523</v>
      </c>
      <c r="B525" s="127" t="s">
        <v>1169</v>
      </c>
      <c r="C525" s="225" t="s">
        <v>1170</v>
      </c>
      <c r="D525" s="226">
        <v>4</v>
      </c>
      <c r="E525" s="208" t="s">
        <v>1171</v>
      </c>
      <c r="F525" s="192">
        <v>5712394</v>
      </c>
      <c r="G525" s="7" t="s">
        <v>11</v>
      </c>
      <c r="H525" s="225" t="s">
        <v>29</v>
      </c>
      <c r="I525" s="9" t="s">
        <v>1342</v>
      </c>
    </row>
    <row r="526" spans="1:9" ht="40.5">
      <c r="A526" s="238">
        <v>524</v>
      </c>
      <c r="B526" s="234" t="s">
        <v>1172</v>
      </c>
      <c r="C526" s="225" t="s">
        <v>178</v>
      </c>
      <c r="D526" s="226">
        <v>2</v>
      </c>
      <c r="E526" s="208" t="s">
        <v>1173</v>
      </c>
      <c r="F526" s="192">
        <v>377180</v>
      </c>
      <c r="G526" s="7" t="s">
        <v>11</v>
      </c>
      <c r="H526" s="225" t="s">
        <v>49</v>
      </c>
      <c r="I526" s="9" t="s">
        <v>1342</v>
      </c>
    </row>
    <row r="527" spans="1:9" ht="40.5">
      <c r="A527" s="238">
        <v>525</v>
      </c>
      <c r="B527" s="234" t="s">
        <v>1172</v>
      </c>
      <c r="C527" s="225" t="s">
        <v>178</v>
      </c>
      <c r="D527" s="226">
        <v>6</v>
      </c>
      <c r="E527" s="208" t="s">
        <v>1174</v>
      </c>
      <c r="F527" s="192">
        <v>146890</v>
      </c>
      <c r="G527" s="7" t="s">
        <v>11</v>
      </c>
      <c r="H527" s="225" t="s">
        <v>47</v>
      </c>
      <c r="I527" s="9" t="s">
        <v>1342</v>
      </c>
    </row>
    <row r="528" spans="1:9" ht="54">
      <c r="A528" s="238">
        <v>526</v>
      </c>
      <c r="B528" s="234" t="s">
        <v>1175</v>
      </c>
      <c r="C528" s="225" t="s">
        <v>254</v>
      </c>
      <c r="D528" s="226">
        <v>1</v>
      </c>
      <c r="E528" s="208" t="s">
        <v>1176</v>
      </c>
      <c r="F528" s="192">
        <v>1909527</v>
      </c>
      <c r="G528" s="7" t="s">
        <v>11</v>
      </c>
      <c r="H528" s="225" t="s">
        <v>29</v>
      </c>
      <c r="I528" s="9" t="s">
        <v>1342</v>
      </c>
    </row>
    <row r="529" spans="1:9" ht="27">
      <c r="A529" s="238">
        <v>527</v>
      </c>
      <c r="B529" s="234" t="s">
        <v>1175</v>
      </c>
      <c r="C529" s="225" t="s">
        <v>1177</v>
      </c>
      <c r="D529" s="226">
        <v>1</v>
      </c>
      <c r="E529" s="208" t="s">
        <v>1178</v>
      </c>
      <c r="F529" s="192">
        <v>14472972</v>
      </c>
      <c r="G529" s="7" t="s">
        <v>11</v>
      </c>
      <c r="H529" s="225" t="s">
        <v>29</v>
      </c>
      <c r="I529" s="9" t="s">
        <v>1342</v>
      </c>
    </row>
    <row r="530" spans="1:9" ht="40.5">
      <c r="A530" s="238">
        <v>528</v>
      </c>
      <c r="B530" s="234" t="s">
        <v>1175</v>
      </c>
      <c r="C530" s="225" t="s">
        <v>534</v>
      </c>
      <c r="D530" s="226">
        <v>3</v>
      </c>
      <c r="E530" s="208" t="s">
        <v>1179</v>
      </c>
      <c r="F530" s="192">
        <v>4176323</v>
      </c>
      <c r="G530" s="7" t="s">
        <v>11</v>
      </c>
      <c r="H530" s="225" t="s">
        <v>29</v>
      </c>
      <c r="I530" s="9" t="s">
        <v>1342</v>
      </c>
    </row>
    <row r="531" spans="1:9" ht="27">
      <c r="A531" s="238">
        <v>529</v>
      </c>
      <c r="B531" s="234" t="s">
        <v>1175</v>
      </c>
      <c r="C531" s="225" t="s">
        <v>300</v>
      </c>
      <c r="D531" s="226">
        <v>1</v>
      </c>
      <c r="E531" s="208" t="s">
        <v>1180</v>
      </c>
      <c r="F531" s="192">
        <v>3727480</v>
      </c>
      <c r="G531" s="7" t="s">
        <v>11</v>
      </c>
      <c r="H531" s="225" t="s">
        <v>29</v>
      </c>
      <c r="I531" s="9" t="s">
        <v>1342</v>
      </c>
    </row>
    <row r="532" spans="1:9" ht="27">
      <c r="A532" s="238">
        <v>530</v>
      </c>
      <c r="B532" s="234" t="s">
        <v>1175</v>
      </c>
      <c r="C532" s="225" t="s">
        <v>300</v>
      </c>
      <c r="D532" s="226">
        <v>2</v>
      </c>
      <c r="E532" s="208" t="s">
        <v>1181</v>
      </c>
      <c r="F532" s="192">
        <v>4497235</v>
      </c>
      <c r="G532" s="7" t="s">
        <v>11</v>
      </c>
      <c r="H532" s="225" t="s">
        <v>29</v>
      </c>
      <c r="I532" s="9" t="s">
        <v>1342</v>
      </c>
    </row>
    <row r="533" spans="1:9" ht="27">
      <c r="A533" s="238">
        <v>531</v>
      </c>
      <c r="B533" s="234" t="s">
        <v>1175</v>
      </c>
      <c r="C533" s="225" t="s">
        <v>300</v>
      </c>
      <c r="D533" s="226">
        <v>3</v>
      </c>
      <c r="E533" s="208" t="s">
        <v>1182</v>
      </c>
      <c r="F533" s="192">
        <v>115014733</v>
      </c>
      <c r="G533" s="7" t="s">
        <v>11</v>
      </c>
      <c r="H533" s="225" t="s">
        <v>29</v>
      </c>
      <c r="I533" s="9" t="s">
        <v>1342</v>
      </c>
    </row>
    <row r="534" spans="1:9" ht="40.5">
      <c r="A534" s="238">
        <v>532</v>
      </c>
      <c r="B534" s="234" t="s">
        <v>1175</v>
      </c>
      <c r="C534" s="225" t="s">
        <v>300</v>
      </c>
      <c r="D534" s="226">
        <v>4</v>
      </c>
      <c r="E534" s="208" t="s">
        <v>1183</v>
      </c>
      <c r="F534" s="192">
        <v>2368949</v>
      </c>
      <c r="G534" s="7" t="s">
        <v>11</v>
      </c>
      <c r="H534" s="225" t="s">
        <v>29</v>
      </c>
      <c r="I534" s="9" t="s">
        <v>1342</v>
      </c>
    </row>
    <row r="535" spans="1:9" ht="40.5">
      <c r="A535" s="238">
        <v>533</v>
      </c>
      <c r="B535" s="234" t="s">
        <v>1175</v>
      </c>
      <c r="C535" s="225" t="s">
        <v>300</v>
      </c>
      <c r="D535" s="226">
        <v>5</v>
      </c>
      <c r="E535" s="208" t="s">
        <v>1184</v>
      </c>
      <c r="F535" s="192">
        <v>2396579</v>
      </c>
      <c r="G535" s="7" t="s">
        <v>11</v>
      </c>
      <c r="H535" s="225" t="s">
        <v>1022</v>
      </c>
      <c r="I535" s="9" t="s">
        <v>1342</v>
      </c>
    </row>
    <row r="536" spans="1:9" ht="54">
      <c r="A536" s="238">
        <v>534</v>
      </c>
      <c r="B536" s="234" t="s">
        <v>1185</v>
      </c>
      <c r="C536" s="225" t="s">
        <v>9</v>
      </c>
      <c r="D536" s="226" t="s">
        <v>1186</v>
      </c>
      <c r="E536" s="208" t="s">
        <v>1187</v>
      </c>
      <c r="F536" s="192">
        <v>1668855</v>
      </c>
      <c r="G536" s="7" t="s">
        <v>11</v>
      </c>
      <c r="H536" s="225" t="s">
        <v>44</v>
      </c>
      <c r="I536" s="9" t="s">
        <v>1342</v>
      </c>
    </row>
    <row r="537" spans="1:9" ht="40.5">
      <c r="A537" s="238">
        <v>535</v>
      </c>
      <c r="B537" s="234" t="s">
        <v>1175</v>
      </c>
      <c r="C537" s="225" t="s">
        <v>9</v>
      </c>
      <c r="D537" s="226" t="s">
        <v>1188</v>
      </c>
      <c r="E537" s="208" t="s">
        <v>1115</v>
      </c>
      <c r="F537" s="192">
        <v>1554884</v>
      </c>
      <c r="G537" s="7" t="s">
        <v>11</v>
      </c>
      <c r="H537" s="225" t="s">
        <v>1116</v>
      </c>
      <c r="I537" s="9" t="s">
        <v>1342</v>
      </c>
    </row>
    <row r="538" spans="1:9" ht="40.5">
      <c r="A538" s="238">
        <v>536</v>
      </c>
      <c r="B538" s="234" t="s">
        <v>1175</v>
      </c>
      <c r="C538" s="225" t="s">
        <v>9</v>
      </c>
      <c r="D538" s="226" t="s">
        <v>717</v>
      </c>
      <c r="E538" s="208" t="s">
        <v>1189</v>
      </c>
      <c r="F538" s="192">
        <v>25371600</v>
      </c>
      <c r="G538" s="7" t="s">
        <v>11</v>
      </c>
      <c r="H538" s="225" t="s">
        <v>12</v>
      </c>
      <c r="I538" s="9" t="s">
        <v>1342</v>
      </c>
    </row>
    <row r="539" spans="1:9" ht="40.5">
      <c r="A539" s="238">
        <v>537</v>
      </c>
      <c r="B539" s="234" t="s">
        <v>1175</v>
      </c>
      <c r="C539" s="225" t="s">
        <v>1150</v>
      </c>
      <c r="D539" s="226">
        <v>18.5</v>
      </c>
      <c r="E539" s="209" t="s">
        <v>1190</v>
      </c>
      <c r="F539" s="192">
        <v>5796054</v>
      </c>
      <c r="G539" s="7" t="s">
        <v>11</v>
      </c>
      <c r="H539" s="225" t="s">
        <v>29</v>
      </c>
      <c r="I539" s="9" t="s">
        <v>1342</v>
      </c>
    </row>
    <row r="540" spans="1:9" ht="40.5">
      <c r="A540" s="238">
        <v>538</v>
      </c>
      <c r="B540" s="234" t="s">
        <v>1175</v>
      </c>
      <c r="C540" s="225" t="s">
        <v>1150</v>
      </c>
      <c r="D540" s="226">
        <v>19.2</v>
      </c>
      <c r="E540" s="209" t="s">
        <v>1191</v>
      </c>
      <c r="F540" s="192">
        <v>275040</v>
      </c>
      <c r="G540" s="7" t="s">
        <v>11</v>
      </c>
      <c r="H540" s="225" t="s">
        <v>29</v>
      </c>
      <c r="I540" s="9" t="s">
        <v>1342</v>
      </c>
    </row>
    <row r="541" spans="1:9" ht="54">
      <c r="A541" s="238">
        <v>539</v>
      </c>
      <c r="B541" s="234" t="s">
        <v>1175</v>
      </c>
      <c r="C541" s="225" t="s">
        <v>1150</v>
      </c>
      <c r="D541" s="226">
        <v>65.2</v>
      </c>
      <c r="E541" s="209" t="s">
        <v>1124</v>
      </c>
      <c r="F541" s="192">
        <v>0</v>
      </c>
      <c r="G541" s="7" t="s">
        <v>11</v>
      </c>
      <c r="H541" s="225" t="s">
        <v>47</v>
      </c>
      <c r="I541" s="9" t="s">
        <v>1342</v>
      </c>
    </row>
    <row r="542" spans="1:9" ht="27">
      <c r="A542" s="238">
        <v>540</v>
      </c>
      <c r="B542" s="234" t="s">
        <v>1192</v>
      </c>
      <c r="C542" s="225" t="s">
        <v>69</v>
      </c>
      <c r="D542" s="225">
        <v>3</v>
      </c>
      <c r="E542" s="208" t="s">
        <v>1193</v>
      </c>
      <c r="F542" s="192">
        <v>17187043</v>
      </c>
      <c r="G542" s="7" t="s">
        <v>11</v>
      </c>
      <c r="H542" s="225" t="s">
        <v>29</v>
      </c>
      <c r="I542" s="9" t="s">
        <v>1342</v>
      </c>
    </row>
    <row r="543" spans="1:9" ht="40.5">
      <c r="A543" s="238">
        <v>541</v>
      </c>
      <c r="B543" s="234" t="s">
        <v>1192</v>
      </c>
      <c r="C543" s="225" t="s">
        <v>69</v>
      </c>
      <c r="D543" s="225">
        <v>2</v>
      </c>
      <c r="E543" s="208" t="s">
        <v>1194</v>
      </c>
      <c r="F543" s="192">
        <v>1074563</v>
      </c>
      <c r="G543" s="7" t="s">
        <v>11</v>
      </c>
      <c r="H543" s="225" t="s">
        <v>49</v>
      </c>
      <c r="I543" s="9" t="s">
        <v>1342</v>
      </c>
    </row>
    <row r="544" spans="1:9" ht="27">
      <c r="A544" s="238">
        <v>542</v>
      </c>
      <c r="B544" s="234" t="s">
        <v>1192</v>
      </c>
      <c r="C544" s="225" t="s">
        <v>300</v>
      </c>
      <c r="D544" s="225">
        <v>1</v>
      </c>
      <c r="E544" s="208" t="s">
        <v>1195</v>
      </c>
      <c r="F544" s="192">
        <v>4420660</v>
      </c>
      <c r="G544" s="7" t="s">
        <v>11</v>
      </c>
      <c r="H544" s="225" t="s">
        <v>29</v>
      </c>
      <c r="I544" s="9" t="s">
        <v>1342</v>
      </c>
    </row>
    <row r="545" spans="1:9" ht="54">
      <c r="A545" s="238">
        <v>543</v>
      </c>
      <c r="B545" s="234" t="s">
        <v>1192</v>
      </c>
      <c r="C545" s="225" t="s">
        <v>300</v>
      </c>
      <c r="D545" s="225">
        <v>2</v>
      </c>
      <c r="E545" s="208" t="s">
        <v>1196</v>
      </c>
      <c r="F545" s="192">
        <v>711956</v>
      </c>
      <c r="G545" s="7" t="s">
        <v>11</v>
      </c>
      <c r="H545" s="225" t="s">
        <v>1022</v>
      </c>
      <c r="I545" s="9" t="s">
        <v>1342</v>
      </c>
    </row>
    <row r="546" spans="1:9" ht="40.5">
      <c r="A546" s="238">
        <v>544</v>
      </c>
      <c r="B546" s="234" t="s">
        <v>1192</v>
      </c>
      <c r="C546" s="225" t="s">
        <v>178</v>
      </c>
      <c r="D546" s="225">
        <v>5</v>
      </c>
      <c r="E546" s="208" t="s">
        <v>1197</v>
      </c>
      <c r="F546" s="192">
        <v>1929974</v>
      </c>
      <c r="G546" s="7" t="s">
        <v>11</v>
      </c>
      <c r="H546" s="225" t="s">
        <v>29</v>
      </c>
      <c r="I546" s="9" t="s">
        <v>1342</v>
      </c>
    </row>
    <row r="547" spans="1:9" ht="40.5">
      <c r="A547" s="238">
        <v>545</v>
      </c>
      <c r="B547" s="234" t="s">
        <v>1192</v>
      </c>
      <c r="C547" s="225" t="s">
        <v>178</v>
      </c>
      <c r="D547" s="225">
        <v>4</v>
      </c>
      <c r="E547" s="208" t="s">
        <v>1198</v>
      </c>
      <c r="F547" s="192">
        <v>1932735</v>
      </c>
      <c r="G547" s="7" t="s">
        <v>11</v>
      </c>
      <c r="H547" s="225" t="s">
        <v>29</v>
      </c>
      <c r="I547" s="9" t="s">
        <v>1342</v>
      </c>
    </row>
    <row r="548" spans="1:9" ht="27">
      <c r="A548" s="238">
        <v>546</v>
      </c>
      <c r="B548" s="234" t="s">
        <v>1192</v>
      </c>
      <c r="C548" s="225" t="s">
        <v>178</v>
      </c>
      <c r="D548" s="225">
        <v>6</v>
      </c>
      <c r="E548" s="208" t="s">
        <v>1199</v>
      </c>
      <c r="F548" s="192">
        <v>5838986</v>
      </c>
      <c r="G548" s="7" t="s">
        <v>11</v>
      </c>
      <c r="H548" s="225" t="s">
        <v>29</v>
      </c>
      <c r="I548" s="9" t="s">
        <v>1342</v>
      </c>
    </row>
    <row r="549" spans="1:9" ht="54">
      <c r="A549" s="238">
        <v>547</v>
      </c>
      <c r="B549" s="234" t="s">
        <v>1192</v>
      </c>
      <c r="C549" s="225" t="s">
        <v>9</v>
      </c>
      <c r="D549" s="226" t="s">
        <v>1200</v>
      </c>
      <c r="E549" s="208" t="s">
        <v>1201</v>
      </c>
      <c r="F549" s="192">
        <v>992500</v>
      </c>
      <c r="G549" s="7" t="s">
        <v>11</v>
      </c>
      <c r="H549" s="225" t="s">
        <v>44</v>
      </c>
      <c r="I549" s="9" t="s">
        <v>1342</v>
      </c>
    </row>
    <row r="550" spans="1:9" ht="40.5">
      <c r="A550" s="238">
        <v>548</v>
      </c>
      <c r="B550" s="234" t="s">
        <v>1192</v>
      </c>
      <c r="C550" s="225" t="s">
        <v>9</v>
      </c>
      <c r="D550" s="226" t="s">
        <v>1202</v>
      </c>
      <c r="E550" s="208" t="s">
        <v>1203</v>
      </c>
      <c r="F550" s="192">
        <v>4124325</v>
      </c>
      <c r="G550" s="7" t="s">
        <v>11</v>
      </c>
      <c r="H550" s="225" t="s">
        <v>1116</v>
      </c>
      <c r="I550" s="9" t="s">
        <v>1342</v>
      </c>
    </row>
    <row r="551" spans="1:9" ht="40.5">
      <c r="A551" s="238">
        <v>549</v>
      </c>
      <c r="B551" s="234" t="s">
        <v>1192</v>
      </c>
      <c r="C551" s="225" t="s">
        <v>9</v>
      </c>
      <c r="D551" s="226" t="s">
        <v>1204</v>
      </c>
      <c r="E551" s="208" t="s">
        <v>1205</v>
      </c>
      <c r="F551" s="192">
        <v>4291800</v>
      </c>
      <c r="G551" s="7" t="s">
        <v>11</v>
      </c>
      <c r="H551" s="225" t="s">
        <v>12</v>
      </c>
      <c r="I551" s="9" t="s">
        <v>1342</v>
      </c>
    </row>
    <row r="552" spans="1:9" ht="40.5">
      <c r="A552" s="238">
        <v>550</v>
      </c>
      <c r="B552" s="234" t="s">
        <v>1192</v>
      </c>
      <c r="C552" s="225" t="s">
        <v>9</v>
      </c>
      <c r="D552" s="226" t="s">
        <v>1206</v>
      </c>
      <c r="E552" s="208" t="s">
        <v>1207</v>
      </c>
      <c r="F552" s="192">
        <v>3056177</v>
      </c>
      <c r="G552" s="7" t="s">
        <v>11</v>
      </c>
      <c r="H552" s="225" t="s">
        <v>29</v>
      </c>
      <c r="I552" s="9" t="s">
        <v>1342</v>
      </c>
    </row>
    <row r="553" spans="1:9" ht="40.5">
      <c r="A553" s="238">
        <v>551</v>
      </c>
      <c r="B553" s="234" t="s">
        <v>1192</v>
      </c>
      <c r="C553" s="225" t="s">
        <v>9</v>
      </c>
      <c r="D553" s="225">
        <v>45</v>
      </c>
      <c r="E553" s="208" t="s">
        <v>1208</v>
      </c>
      <c r="F553" s="192">
        <v>7567502</v>
      </c>
      <c r="G553" s="7" t="s">
        <v>11</v>
      </c>
      <c r="H553" s="225" t="s">
        <v>19</v>
      </c>
      <c r="I553" s="9" t="s">
        <v>1342</v>
      </c>
    </row>
    <row r="554" spans="1:9" ht="40.5">
      <c r="A554" s="238">
        <v>552</v>
      </c>
      <c r="B554" s="234" t="s">
        <v>1192</v>
      </c>
      <c r="C554" s="225" t="s">
        <v>1150</v>
      </c>
      <c r="D554" s="225" t="s">
        <v>1209</v>
      </c>
      <c r="E554" s="209" t="s">
        <v>1210</v>
      </c>
      <c r="F554" s="192">
        <v>5919763</v>
      </c>
      <c r="G554" s="7" t="s">
        <v>11</v>
      </c>
      <c r="H554" s="225" t="s">
        <v>29</v>
      </c>
      <c r="I554" s="9" t="s">
        <v>1342</v>
      </c>
    </row>
    <row r="555" spans="1:9" ht="40.5">
      <c r="A555" s="238">
        <v>553</v>
      </c>
      <c r="B555" s="234" t="s">
        <v>1192</v>
      </c>
      <c r="C555" s="225" t="s">
        <v>1150</v>
      </c>
      <c r="D555" s="226">
        <v>18.7</v>
      </c>
      <c r="E555" s="209" t="s">
        <v>1211</v>
      </c>
      <c r="F555" s="192">
        <v>9359534</v>
      </c>
      <c r="G555" s="7" t="s">
        <v>11</v>
      </c>
      <c r="H555" s="225" t="s">
        <v>29</v>
      </c>
      <c r="I555" s="9" t="s">
        <v>1342</v>
      </c>
    </row>
    <row r="556" spans="1:9" ht="40.5">
      <c r="A556" s="238">
        <v>554</v>
      </c>
      <c r="B556" s="234" t="s">
        <v>1192</v>
      </c>
      <c r="C556" s="225" t="s">
        <v>1150</v>
      </c>
      <c r="D556" s="226">
        <v>19.600000000000001</v>
      </c>
      <c r="E556" s="209" t="s">
        <v>1212</v>
      </c>
      <c r="F556" s="192">
        <v>7345369</v>
      </c>
      <c r="G556" s="7" t="s">
        <v>11</v>
      </c>
      <c r="H556" s="225" t="s">
        <v>29</v>
      </c>
      <c r="I556" s="9" t="s">
        <v>1342</v>
      </c>
    </row>
    <row r="557" spans="1:9" ht="54">
      <c r="A557" s="238">
        <v>555</v>
      </c>
      <c r="B557" s="234" t="s">
        <v>1192</v>
      </c>
      <c r="C557" s="225" t="s">
        <v>1150</v>
      </c>
      <c r="D557" s="226">
        <v>65.400000000000006</v>
      </c>
      <c r="E557" s="209" t="s">
        <v>1124</v>
      </c>
      <c r="F557" s="192">
        <v>0</v>
      </c>
      <c r="G557" s="7" t="s">
        <v>11</v>
      </c>
      <c r="H557" s="225" t="s">
        <v>47</v>
      </c>
      <c r="I557" s="9" t="s">
        <v>1342</v>
      </c>
    </row>
    <row r="558" spans="1:9" ht="54">
      <c r="A558" s="238">
        <v>556</v>
      </c>
      <c r="B558" s="234" t="s">
        <v>1213</v>
      </c>
      <c r="C558" s="225" t="s">
        <v>1214</v>
      </c>
      <c r="D558" s="225">
        <v>2</v>
      </c>
      <c r="E558" s="208" t="s">
        <v>1215</v>
      </c>
      <c r="F558" s="192">
        <v>1306859</v>
      </c>
      <c r="G558" s="7" t="s">
        <v>11</v>
      </c>
      <c r="H558" s="225" t="s">
        <v>47</v>
      </c>
      <c r="I558" s="9" t="s">
        <v>1342</v>
      </c>
    </row>
    <row r="559" spans="1:9" ht="40.5">
      <c r="A559" s="238">
        <v>557</v>
      </c>
      <c r="B559" s="234" t="s">
        <v>1213</v>
      </c>
      <c r="C559" s="225" t="s">
        <v>1214</v>
      </c>
      <c r="D559" s="225">
        <v>7</v>
      </c>
      <c r="E559" s="208" t="s">
        <v>1216</v>
      </c>
      <c r="F559" s="192">
        <v>568981</v>
      </c>
      <c r="G559" s="7" t="s">
        <v>11</v>
      </c>
      <c r="H559" s="225" t="s">
        <v>1022</v>
      </c>
      <c r="I559" s="9" t="s">
        <v>1342</v>
      </c>
    </row>
    <row r="560" spans="1:9" ht="54">
      <c r="A560" s="238">
        <v>558</v>
      </c>
      <c r="B560" s="234" t="s">
        <v>1213</v>
      </c>
      <c r="C560" s="225" t="s">
        <v>1214</v>
      </c>
      <c r="D560" s="225">
        <v>8</v>
      </c>
      <c r="E560" s="208" t="s">
        <v>1217</v>
      </c>
      <c r="F560" s="192">
        <v>813810</v>
      </c>
      <c r="G560" s="7" t="s">
        <v>11</v>
      </c>
      <c r="H560" s="225" t="s">
        <v>12</v>
      </c>
      <c r="I560" s="9" t="s">
        <v>1342</v>
      </c>
    </row>
    <row r="561" spans="1:9" ht="54">
      <c r="A561" s="238">
        <v>559</v>
      </c>
      <c r="B561" s="234" t="s">
        <v>1213</v>
      </c>
      <c r="C561" s="225" t="s">
        <v>178</v>
      </c>
      <c r="D561" s="225">
        <v>1</v>
      </c>
      <c r="E561" s="208" t="s">
        <v>1218</v>
      </c>
      <c r="F561" s="192">
        <v>346596</v>
      </c>
      <c r="G561" s="7" t="s">
        <v>11</v>
      </c>
      <c r="H561" s="225" t="s">
        <v>12</v>
      </c>
      <c r="I561" s="9" t="s">
        <v>1342</v>
      </c>
    </row>
    <row r="562" spans="1:9" ht="67.5">
      <c r="A562" s="238">
        <v>560</v>
      </c>
      <c r="B562" s="234" t="s">
        <v>1213</v>
      </c>
      <c r="C562" s="225" t="s">
        <v>178</v>
      </c>
      <c r="D562" s="225">
        <v>9</v>
      </c>
      <c r="E562" s="208" t="s">
        <v>1219</v>
      </c>
      <c r="F562" s="192">
        <v>1995525</v>
      </c>
      <c r="G562" s="7" t="s">
        <v>11</v>
      </c>
      <c r="H562" s="225" t="s">
        <v>12</v>
      </c>
      <c r="I562" s="9" t="s">
        <v>1342</v>
      </c>
    </row>
    <row r="563" spans="1:9" ht="67.5">
      <c r="A563" s="238">
        <v>561</v>
      </c>
      <c r="B563" s="234" t="s">
        <v>1213</v>
      </c>
      <c r="C563" s="225" t="s">
        <v>178</v>
      </c>
      <c r="D563" s="225">
        <v>10</v>
      </c>
      <c r="E563" s="208" t="s">
        <v>1220</v>
      </c>
      <c r="F563" s="192">
        <v>1788009</v>
      </c>
      <c r="G563" s="7" t="s">
        <v>11</v>
      </c>
      <c r="H563" s="225" t="s">
        <v>1022</v>
      </c>
      <c r="I563" s="9" t="s">
        <v>1342</v>
      </c>
    </row>
    <row r="564" spans="1:9" ht="40.5">
      <c r="A564" s="238">
        <v>562</v>
      </c>
      <c r="B564" s="234" t="s">
        <v>1213</v>
      </c>
      <c r="C564" s="225" t="s">
        <v>1150</v>
      </c>
      <c r="D564" s="226">
        <v>18.18</v>
      </c>
      <c r="E564" s="209" t="s">
        <v>1221</v>
      </c>
      <c r="F564" s="192">
        <v>42838279</v>
      </c>
      <c r="G564" s="7" t="s">
        <v>11</v>
      </c>
      <c r="H564" s="225" t="s">
        <v>29</v>
      </c>
      <c r="I564" s="9" t="s">
        <v>1342</v>
      </c>
    </row>
    <row r="565" spans="1:9" ht="54">
      <c r="A565" s="238">
        <v>563</v>
      </c>
      <c r="B565" s="234" t="s">
        <v>1213</v>
      </c>
      <c r="C565" s="225" t="s">
        <v>1150</v>
      </c>
      <c r="D565" s="226">
        <v>58.3</v>
      </c>
      <c r="E565" s="209" t="s">
        <v>1222</v>
      </c>
      <c r="F565" s="192">
        <v>1983700</v>
      </c>
      <c r="G565" s="7" t="s">
        <v>11</v>
      </c>
      <c r="H565" s="225" t="s">
        <v>47</v>
      </c>
      <c r="I565" s="9" t="s">
        <v>1342</v>
      </c>
    </row>
    <row r="566" spans="1:9" ht="16.5">
      <c r="A566" s="238">
        <v>564</v>
      </c>
      <c r="B566" s="234" t="s">
        <v>1223</v>
      </c>
      <c r="C566" s="225" t="s">
        <v>537</v>
      </c>
      <c r="D566" s="226">
        <v>4</v>
      </c>
      <c r="E566" s="208" t="s">
        <v>1224</v>
      </c>
      <c r="F566" s="192">
        <v>912764</v>
      </c>
      <c r="G566" s="7" t="s">
        <v>11</v>
      </c>
      <c r="H566" s="225" t="s">
        <v>29</v>
      </c>
      <c r="I566" s="9" t="s">
        <v>1342</v>
      </c>
    </row>
    <row r="567" spans="1:9" ht="54">
      <c r="A567" s="238">
        <v>565</v>
      </c>
      <c r="B567" s="234" t="s">
        <v>1223</v>
      </c>
      <c r="C567" s="225" t="s">
        <v>80</v>
      </c>
      <c r="D567" s="225">
        <v>1</v>
      </c>
      <c r="E567" s="208" t="s">
        <v>1225</v>
      </c>
      <c r="F567" s="192">
        <v>236885</v>
      </c>
      <c r="G567" s="7" t="s">
        <v>11</v>
      </c>
      <c r="H567" s="225" t="s">
        <v>29</v>
      </c>
      <c r="I567" s="9" t="s">
        <v>1342</v>
      </c>
    </row>
    <row r="568" spans="1:9" ht="40.5">
      <c r="A568" s="238">
        <v>566</v>
      </c>
      <c r="B568" s="234" t="s">
        <v>1223</v>
      </c>
      <c r="C568" s="225" t="s">
        <v>80</v>
      </c>
      <c r="D568" s="225">
        <v>5</v>
      </c>
      <c r="E568" s="208" t="s">
        <v>1226</v>
      </c>
      <c r="F568" s="192">
        <v>862455</v>
      </c>
      <c r="G568" s="7" t="s">
        <v>11</v>
      </c>
      <c r="H568" s="225" t="s">
        <v>29</v>
      </c>
      <c r="I568" s="9" t="s">
        <v>1342</v>
      </c>
    </row>
    <row r="569" spans="1:9" ht="40.5">
      <c r="A569" s="238">
        <v>567</v>
      </c>
      <c r="B569" s="234" t="s">
        <v>1223</v>
      </c>
      <c r="C569" s="225" t="s">
        <v>1150</v>
      </c>
      <c r="D569" s="226">
        <v>17.5</v>
      </c>
      <c r="E569" s="209" t="s">
        <v>1227</v>
      </c>
      <c r="F569" s="192">
        <v>6009510</v>
      </c>
      <c r="G569" s="7" t="s">
        <v>11</v>
      </c>
      <c r="H569" s="225" t="s">
        <v>29</v>
      </c>
      <c r="I569" s="9" t="s">
        <v>1342</v>
      </c>
    </row>
    <row r="570" spans="1:9" ht="40.5">
      <c r="A570" s="238">
        <v>568</v>
      </c>
      <c r="B570" s="234" t="s">
        <v>1223</v>
      </c>
      <c r="C570" s="225" t="s">
        <v>1150</v>
      </c>
      <c r="D570" s="226">
        <v>18.600000000000001</v>
      </c>
      <c r="E570" s="209" t="s">
        <v>1228</v>
      </c>
      <c r="F570" s="192">
        <v>76266243</v>
      </c>
      <c r="G570" s="7" t="s">
        <v>11</v>
      </c>
      <c r="H570" s="225" t="s">
        <v>29</v>
      </c>
      <c r="I570" s="9" t="s">
        <v>1342</v>
      </c>
    </row>
    <row r="571" spans="1:9" ht="40.5">
      <c r="A571" s="238">
        <v>569</v>
      </c>
      <c r="B571" s="234" t="s">
        <v>1223</v>
      </c>
      <c r="C571" s="225" t="s">
        <v>1150</v>
      </c>
      <c r="D571" s="226">
        <v>19.5</v>
      </c>
      <c r="E571" s="209" t="s">
        <v>1229</v>
      </c>
      <c r="F571" s="192">
        <v>3603181</v>
      </c>
      <c r="G571" s="7" t="s">
        <v>11</v>
      </c>
      <c r="H571" s="225" t="s">
        <v>29</v>
      </c>
      <c r="I571" s="9" t="s">
        <v>1342</v>
      </c>
    </row>
    <row r="572" spans="1:9" ht="40.5">
      <c r="A572" s="238">
        <v>570</v>
      </c>
      <c r="B572" s="234" t="s">
        <v>1223</v>
      </c>
      <c r="C572" s="225" t="s">
        <v>1150</v>
      </c>
      <c r="D572" s="226">
        <v>39.1</v>
      </c>
      <c r="E572" s="209" t="s">
        <v>1230</v>
      </c>
      <c r="F572" s="192">
        <v>1676890</v>
      </c>
      <c r="G572" s="7" t="s">
        <v>11</v>
      </c>
      <c r="H572" s="225" t="s">
        <v>12</v>
      </c>
      <c r="I572" s="9" t="s">
        <v>1342</v>
      </c>
    </row>
    <row r="573" spans="1:9" ht="54">
      <c r="A573" s="238">
        <v>571</v>
      </c>
      <c r="B573" s="234" t="s">
        <v>1231</v>
      </c>
      <c r="C573" s="225" t="s">
        <v>256</v>
      </c>
      <c r="D573" s="225">
        <v>7</v>
      </c>
      <c r="E573" s="208" t="s">
        <v>1232</v>
      </c>
      <c r="F573" s="192">
        <v>1007748</v>
      </c>
      <c r="G573" s="7" t="s">
        <v>11</v>
      </c>
      <c r="H573" s="225" t="s">
        <v>29</v>
      </c>
      <c r="I573" s="9" t="s">
        <v>1342</v>
      </c>
    </row>
    <row r="574" spans="1:9" ht="27">
      <c r="A574" s="238">
        <v>572</v>
      </c>
      <c r="B574" s="234" t="s">
        <v>1231</v>
      </c>
      <c r="C574" s="225" t="s">
        <v>111</v>
      </c>
      <c r="D574" s="225">
        <v>4</v>
      </c>
      <c r="E574" s="208" t="s">
        <v>1233</v>
      </c>
      <c r="F574" s="192">
        <v>2059202</v>
      </c>
      <c r="G574" s="7" t="s">
        <v>11</v>
      </c>
      <c r="H574" s="225" t="s">
        <v>29</v>
      </c>
      <c r="I574" s="9" t="s">
        <v>1342</v>
      </c>
    </row>
    <row r="575" spans="1:9" ht="27">
      <c r="A575" s="238">
        <v>573</v>
      </c>
      <c r="B575" s="234" t="s">
        <v>1231</v>
      </c>
      <c r="C575" s="225" t="s">
        <v>111</v>
      </c>
      <c r="D575" s="225">
        <v>1</v>
      </c>
      <c r="E575" s="208" t="s">
        <v>1234</v>
      </c>
      <c r="F575" s="192">
        <v>32325654</v>
      </c>
      <c r="G575" s="7" t="s">
        <v>11</v>
      </c>
      <c r="H575" s="225" t="s">
        <v>29</v>
      </c>
      <c r="I575" s="9" t="s">
        <v>1342</v>
      </c>
    </row>
    <row r="576" spans="1:9" ht="40.5">
      <c r="A576" s="238">
        <v>574</v>
      </c>
      <c r="B576" s="234" t="s">
        <v>1231</v>
      </c>
      <c r="C576" s="225" t="s">
        <v>1235</v>
      </c>
      <c r="D576" s="225">
        <v>2</v>
      </c>
      <c r="E576" s="208" t="s">
        <v>1236</v>
      </c>
      <c r="F576" s="192">
        <v>1493617</v>
      </c>
      <c r="G576" s="7" t="s">
        <v>11</v>
      </c>
      <c r="H576" s="225" t="s">
        <v>29</v>
      </c>
      <c r="I576" s="9" t="s">
        <v>1342</v>
      </c>
    </row>
    <row r="577" spans="1:9" ht="27">
      <c r="A577" s="238">
        <v>575</v>
      </c>
      <c r="B577" s="234" t="s">
        <v>1231</v>
      </c>
      <c r="C577" s="225" t="s">
        <v>111</v>
      </c>
      <c r="D577" s="225">
        <v>5</v>
      </c>
      <c r="E577" s="208" t="s">
        <v>1237</v>
      </c>
      <c r="F577" s="192">
        <v>170414</v>
      </c>
      <c r="G577" s="7" t="s">
        <v>11</v>
      </c>
      <c r="H577" s="225" t="s">
        <v>47</v>
      </c>
      <c r="I577" s="9" t="s">
        <v>1342</v>
      </c>
    </row>
    <row r="578" spans="1:9" ht="54">
      <c r="A578" s="238">
        <v>576</v>
      </c>
      <c r="B578" s="234" t="s">
        <v>1231</v>
      </c>
      <c r="C578" s="225" t="s">
        <v>534</v>
      </c>
      <c r="D578" s="225">
        <v>2</v>
      </c>
      <c r="E578" s="208" t="s">
        <v>1238</v>
      </c>
      <c r="F578" s="192">
        <v>22823364</v>
      </c>
      <c r="G578" s="7" t="s">
        <v>11</v>
      </c>
      <c r="H578" s="225" t="s">
        <v>87</v>
      </c>
      <c r="I578" s="9" t="s">
        <v>1342</v>
      </c>
    </row>
    <row r="579" spans="1:9" ht="40.5">
      <c r="A579" s="238">
        <v>577</v>
      </c>
      <c r="B579" s="234" t="s">
        <v>1231</v>
      </c>
      <c r="C579" s="225" t="s">
        <v>534</v>
      </c>
      <c r="D579" s="225">
        <v>3</v>
      </c>
      <c r="E579" s="208" t="s">
        <v>1239</v>
      </c>
      <c r="F579" s="192">
        <v>144429</v>
      </c>
      <c r="G579" s="7" t="s">
        <v>11</v>
      </c>
      <c r="H579" s="225" t="s">
        <v>12</v>
      </c>
      <c r="I579" s="9" t="s">
        <v>1342</v>
      </c>
    </row>
    <row r="580" spans="1:9" ht="40.5">
      <c r="A580" s="238">
        <v>578</v>
      </c>
      <c r="B580" s="234" t="s">
        <v>1231</v>
      </c>
      <c r="C580" s="225" t="s">
        <v>135</v>
      </c>
      <c r="D580" s="225">
        <v>3</v>
      </c>
      <c r="E580" s="208" t="s">
        <v>1240</v>
      </c>
      <c r="F580" s="192">
        <v>12628867</v>
      </c>
      <c r="G580" s="7" t="s">
        <v>11</v>
      </c>
      <c r="H580" s="225" t="s">
        <v>29</v>
      </c>
      <c r="I580" s="9" t="s">
        <v>1342</v>
      </c>
    </row>
    <row r="581" spans="1:9" ht="27">
      <c r="A581" s="238">
        <v>579</v>
      </c>
      <c r="B581" s="234" t="s">
        <v>1231</v>
      </c>
      <c r="C581" s="225" t="s">
        <v>135</v>
      </c>
      <c r="D581" s="225">
        <v>7</v>
      </c>
      <c r="E581" s="208" t="s">
        <v>1241</v>
      </c>
      <c r="F581" s="192">
        <v>788500</v>
      </c>
      <c r="G581" s="7" t="s">
        <v>11</v>
      </c>
      <c r="H581" s="225" t="s">
        <v>47</v>
      </c>
      <c r="I581" s="9" t="s">
        <v>1342</v>
      </c>
    </row>
    <row r="582" spans="1:9" ht="40.5">
      <c r="A582" s="238">
        <v>580</v>
      </c>
      <c r="B582" s="234" t="s">
        <v>1231</v>
      </c>
      <c r="C582" s="225" t="s">
        <v>280</v>
      </c>
      <c r="D582" s="225">
        <v>5</v>
      </c>
      <c r="E582" s="208" t="s">
        <v>1242</v>
      </c>
      <c r="F582" s="192">
        <v>410587</v>
      </c>
      <c r="G582" s="7" t="s">
        <v>11</v>
      </c>
      <c r="H582" s="225" t="s">
        <v>29</v>
      </c>
      <c r="I582" s="9" t="s">
        <v>1342</v>
      </c>
    </row>
    <row r="583" spans="1:9" ht="94.5">
      <c r="A583" s="238">
        <v>581</v>
      </c>
      <c r="B583" s="234" t="s">
        <v>1231</v>
      </c>
      <c r="C583" s="225" t="s">
        <v>178</v>
      </c>
      <c r="D583" s="225">
        <v>4</v>
      </c>
      <c r="E583" s="208" t="s">
        <v>1243</v>
      </c>
      <c r="F583" s="192">
        <v>491034</v>
      </c>
      <c r="G583" s="7" t="s">
        <v>11</v>
      </c>
      <c r="H583" s="225" t="s">
        <v>19</v>
      </c>
      <c r="I583" s="9" t="s">
        <v>1342</v>
      </c>
    </row>
    <row r="584" spans="1:9" ht="108">
      <c r="A584" s="238">
        <v>582</v>
      </c>
      <c r="B584" s="234" t="s">
        <v>1231</v>
      </c>
      <c r="C584" s="225" t="s">
        <v>178</v>
      </c>
      <c r="D584" s="225">
        <v>5</v>
      </c>
      <c r="E584" s="208" t="s">
        <v>1244</v>
      </c>
      <c r="F584" s="192">
        <v>15901854</v>
      </c>
      <c r="G584" s="7" t="s">
        <v>11</v>
      </c>
      <c r="H584" s="225" t="s">
        <v>29</v>
      </c>
      <c r="I584" s="9" t="s">
        <v>1342</v>
      </c>
    </row>
    <row r="585" spans="1:9" ht="54">
      <c r="A585" s="238">
        <v>583</v>
      </c>
      <c r="B585" s="234" t="s">
        <v>1231</v>
      </c>
      <c r="C585" s="225" t="s">
        <v>13</v>
      </c>
      <c r="D585" s="226">
        <v>30.2</v>
      </c>
      <c r="E585" s="208" t="s">
        <v>1245</v>
      </c>
      <c r="F585" s="192">
        <v>250447</v>
      </c>
      <c r="G585" s="7" t="s">
        <v>11</v>
      </c>
      <c r="H585" s="225" t="s">
        <v>44</v>
      </c>
      <c r="I585" s="9" t="s">
        <v>1342</v>
      </c>
    </row>
    <row r="586" spans="1:9" ht="40.5">
      <c r="A586" s="238">
        <v>584</v>
      </c>
      <c r="B586" s="234" t="s">
        <v>1231</v>
      </c>
      <c r="C586" s="225" t="s">
        <v>13</v>
      </c>
      <c r="D586" s="226">
        <v>29.4</v>
      </c>
      <c r="E586" s="208" t="s">
        <v>1246</v>
      </c>
      <c r="F586" s="192">
        <v>5060000</v>
      </c>
      <c r="G586" s="7" t="s">
        <v>11</v>
      </c>
      <c r="H586" s="225" t="s">
        <v>44</v>
      </c>
      <c r="I586" s="9" t="s">
        <v>1342</v>
      </c>
    </row>
    <row r="587" spans="1:9" ht="54">
      <c r="A587" s="238">
        <v>585</v>
      </c>
      <c r="B587" s="234" t="s">
        <v>1231</v>
      </c>
      <c r="C587" s="225" t="s">
        <v>13</v>
      </c>
      <c r="D587" s="226">
        <v>40.159999999999997</v>
      </c>
      <c r="E587" s="208" t="s">
        <v>1247</v>
      </c>
      <c r="F587" s="192">
        <v>12744812</v>
      </c>
      <c r="G587" s="7" t="s">
        <v>11</v>
      </c>
      <c r="H587" s="225" t="s">
        <v>29</v>
      </c>
      <c r="I587" s="9" t="s">
        <v>1342</v>
      </c>
    </row>
    <row r="588" spans="1:9" ht="54">
      <c r="A588" s="238">
        <v>586</v>
      </c>
      <c r="B588" s="234" t="s">
        <v>1231</v>
      </c>
      <c r="C588" s="225" t="s">
        <v>13</v>
      </c>
      <c r="D588" s="226">
        <v>47.11</v>
      </c>
      <c r="E588" s="208" t="s">
        <v>1248</v>
      </c>
      <c r="F588" s="192">
        <v>319899</v>
      </c>
      <c r="G588" s="7" t="s">
        <v>11</v>
      </c>
      <c r="H588" s="225" t="s">
        <v>12</v>
      </c>
      <c r="I588" s="9" t="s">
        <v>1342</v>
      </c>
    </row>
    <row r="589" spans="1:9" ht="54">
      <c r="A589" s="238">
        <v>587</v>
      </c>
      <c r="B589" s="234" t="s">
        <v>1231</v>
      </c>
      <c r="C589" s="225" t="s">
        <v>13</v>
      </c>
      <c r="D589" s="226">
        <v>2.2000000000000002</v>
      </c>
      <c r="E589" s="208" t="s">
        <v>1249</v>
      </c>
      <c r="F589" s="192">
        <v>3849043</v>
      </c>
      <c r="G589" s="7" t="s">
        <v>11</v>
      </c>
      <c r="H589" s="225" t="s">
        <v>12</v>
      </c>
      <c r="I589" s="9" t="s">
        <v>1342</v>
      </c>
    </row>
    <row r="590" spans="1:9" ht="40.5">
      <c r="A590" s="238">
        <v>588</v>
      </c>
      <c r="B590" s="234" t="s">
        <v>1231</v>
      </c>
      <c r="C590" s="225" t="s">
        <v>13</v>
      </c>
      <c r="D590" s="226">
        <v>51.4</v>
      </c>
      <c r="E590" s="208" t="s">
        <v>1250</v>
      </c>
      <c r="F590" s="192">
        <v>0</v>
      </c>
      <c r="G590" s="7" t="s">
        <v>11</v>
      </c>
      <c r="H590" s="225" t="s">
        <v>12</v>
      </c>
      <c r="I590" s="9" t="s">
        <v>1342</v>
      </c>
    </row>
    <row r="591" spans="1:9" ht="40.5">
      <c r="A591" s="238">
        <v>589</v>
      </c>
      <c r="B591" s="234" t="s">
        <v>1231</v>
      </c>
      <c r="C591" s="225" t="s">
        <v>1150</v>
      </c>
      <c r="D591" s="226">
        <v>17.399999999999999</v>
      </c>
      <c r="E591" s="209" t="s">
        <v>1251</v>
      </c>
      <c r="F591" s="192">
        <v>2887044</v>
      </c>
      <c r="G591" s="7" t="s">
        <v>11</v>
      </c>
      <c r="H591" s="225" t="s">
        <v>29</v>
      </c>
      <c r="I591" s="9" t="s">
        <v>1342</v>
      </c>
    </row>
    <row r="592" spans="1:9" ht="40.5">
      <c r="A592" s="238">
        <v>590</v>
      </c>
      <c r="B592" s="234" t="s">
        <v>1231</v>
      </c>
      <c r="C592" s="225" t="s">
        <v>1150</v>
      </c>
      <c r="D592" s="226">
        <v>18.399999999999999</v>
      </c>
      <c r="E592" s="209" t="s">
        <v>1252</v>
      </c>
      <c r="F592" s="192">
        <v>15149404</v>
      </c>
      <c r="G592" s="7" t="s">
        <v>11</v>
      </c>
      <c r="H592" s="225" t="s">
        <v>29</v>
      </c>
      <c r="I592" s="9" t="s">
        <v>1342</v>
      </c>
    </row>
    <row r="593" spans="1:9" ht="40.5">
      <c r="A593" s="238">
        <v>591</v>
      </c>
      <c r="B593" s="234" t="s">
        <v>1231</v>
      </c>
      <c r="C593" s="225" t="s">
        <v>1150</v>
      </c>
      <c r="D593" s="226">
        <v>19.3</v>
      </c>
      <c r="E593" s="209" t="s">
        <v>1253</v>
      </c>
      <c r="F593" s="192">
        <v>5582627</v>
      </c>
      <c r="G593" s="7" t="s">
        <v>11</v>
      </c>
      <c r="H593" s="225" t="s">
        <v>29</v>
      </c>
      <c r="I593" s="9" t="s">
        <v>1342</v>
      </c>
    </row>
    <row r="594" spans="1:9" ht="54">
      <c r="A594" s="238">
        <v>592</v>
      </c>
      <c r="B594" s="234" t="s">
        <v>1231</v>
      </c>
      <c r="C594" s="225" t="s">
        <v>180</v>
      </c>
      <c r="D594" s="227">
        <v>24.1</v>
      </c>
      <c r="E594" s="209" t="s">
        <v>184</v>
      </c>
      <c r="F594" s="192">
        <v>601194</v>
      </c>
      <c r="G594" s="7" t="s">
        <v>11</v>
      </c>
      <c r="H594" s="225" t="s">
        <v>1167</v>
      </c>
      <c r="I594" s="9" t="s">
        <v>1342</v>
      </c>
    </row>
    <row r="595" spans="1:9" ht="40.5">
      <c r="A595" s="238">
        <v>593</v>
      </c>
      <c r="B595" s="234" t="s">
        <v>1231</v>
      </c>
      <c r="C595" s="225" t="s">
        <v>180</v>
      </c>
      <c r="D595" s="227">
        <v>57.3</v>
      </c>
      <c r="E595" s="209" t="s">
        <v>196</v>
      </c>
      <c r="F595" s="192">
        <v>17859186</v>
      </c>
      <c r="G595" s="7" t="s">
        <v>11</v>
      </c>
      <c r="H595" s="225" t="s">
        <v>1254</v>
      </c>
      <c r="I595" s="9" t="s">
        <v>1342</v>
      </c>
    </row>
    <row r="596" spans="1:9" ht="40.5">
      <c r="A596" s="238">
        <v>594</v>
      </c>
      <c r="B596" s="234" t="s">
        <v>1231</v>
      </c>
      <c r="C596" s="225" t="s">
        <v>180</v>
      </c>
      <c r="D596" s="227">
        <v>80.11</v>
      </c>
      <c r="E596" s="209" t="s">
        <v>207</v>
      </c>
      <c r="F596" s="192">
        <v>5320587</v>
      </c>
      <c r="G596" s="7" t="s">
        <v>11</v>
      </c>
      <c r="H596" s="225" t="s">
        <v>1167</v>
      </c>
      <c r="I596" s="9" t="s">
        <v>1342</v>
      </c>
    </row>
    <row r="597" spans="1:9" ht="27">
      <c r="A597" s="238">
        <v>595</v>
      </c>
      <c r="B597" s="234" t="s">
        <v>1255</v>
      </c>
      <c r="C597" s="225" t="s">
        <v>537</v>
      </c>
      <c r="D597" s="226">
        <v>1</v>
      </c>
      <c r="E597" s="208" t="s">
        <v>1256</v>
      </c>
      <c r="F597" s="192">
        <v>57322260</v>
      </c>
      <c r="G597" s="7" t="s">
        <v>11</v>
      </c>
      <c r="H597" s="225" t="s">
        <v>29</v>
      </c>
      <c r="I597" s="9" t="s">
        <v>1342</v>
      </c>
    </row>
    <row r="598" spans="1:9" ht="27">
      <c r="A598" s="238">
        <v>596</v>
      </c>
      <c r="B598" s="234" t="s">
        <v>1255</v>
      </c>
      <c r="C598" s="225" t="s">
        <v>1257</v>
      </c>
      <c r="D598" s="226">
        <v>2</v>
      </c>
      <c r="E598" s="208" t="s">
        <v>1258</v>
      </c>
      <c r="F598" s="192">
        <v>9630756</v>
      </c>
      <c r="G598" s="7" t="s">
        <v>11</v>
      </c>
      <c r="H598" s="225" t="s">
        <v>49</v>
      </c>
      <c r="I598" s="9" t="s">
        <v>1342</v>
      </c>
    </row>
    <row r="599" spans="1:9" ht="54">
      <c r="A599" s="238">
        <v>597</v>
      </c>
      <c r="B599" s="234" t="s">
        <v>1255</v>
      </c>
      <c r="C599" s="225" t="s">
        <v>300</v>
      </c>
      <c r="D599" s="226">
        <v>3</v>
      </c>
      <c r="E599" s="208" t="s">
        <v>1259</v>
      </c>
      <c r="F599" s="192">
        <v>7734992</v>
      </c>
      <c r="G599" s="7" t="s">
        <v>11</v>
      </c>
      <c r="H599" s="225" t="s">
        <v>29</v>
      </c>
      <c r="I599" s="9" t="s">
        <v>1342</v>
      </c>
    </row>
    <row r="600" spans="1:9" ht="40.5">
      <c r="A600" s="238">
        <v>598</v>
      </c>
      <c r="B600" s="234" t="s">
        <v>1255</v>
      </c>
      <c r="C600" s="225" t="s">
        <v>797</v>
      </c>
      <c r="D600" s="225" t="s">
        <v>1260</v>
      </c>
      <c r="E600" s="208" t="s">
        <v>1261</v>
      </c>
      <c r="F600" s="192">
        <v>22192570</v>
      </c>
      <c r="G600" s="7" t="s">
        <v>11</v>
      </c>
      <c r="H600" s="225" t="s">
        <v>29</v>
      </c>
      <c r="I600" s="9" t="s">
        <v>1342</v>
      </c>
    </row>
    <row r="601" spans="1:9" ht="40.5">
      <c r="A601" s="238">
        <v>599</v>
      </c>
      <c r="B601" s="234" t="s">
        <v>1255</v>
      </c>
      <c r="C601" s="225" t="s">
        <v>13</v>
      </c>
      <c r="D601" s="226">
        <v>33.200000000000003</v>
      </c>
      <c r="E601" s="208" t="s">
        <v>1262</v>
      </c>
      <c r="F601" s="192">
        <v>3292800</v>
      </c>
      <c r="G601" s="7" t="s">
        <v>11</v>
      </c>
      <c r="H601" s="225" t="s">
        <v>29</v>
      </c>
      <c r="I601" s="9" t="s">
        <v>1342</v>
      </c>
    </row>
    <row r="602" spans="1:9" ht="40.5">
      <c r="A602" s="238">
        <v>600</v>
      </c>
      <c r="B602" s="234" t="s">
        <v>1255</v>
      </c>
      <c r="C602" s="225" t="s">
        <v>13</v>
      </c>
      <c r="D602" s="226">
        <v>42.3</v>
      </c>
      <c r="E602" s="208" t="s">
        <v>1263</v>
      </c>
      <c r="F602" s="192">
        <v>1526640</v>
      </c>
      <c r="G602" s="7" t="s">
        <v>11</v>
      </c>
      <c r="H602" s="225" t="s">
        <v>29</v>
      </c>
      <c r="I602" s="9" t="s">
        <v>1342</v>
      </c>
    </row>
    <row r="603" spans="1:9" ht="40.5">
      <c r="A603" s="238">
        <v>601</v>
      </c>
      <c r="B603" s="234" t="s">
        <v>1255</v>
      </c>
      <c r="C603" s="225" t="s">
        <v>13</v>
      </c>
      <c r="D603" s="226">
        <v>13.2</v>
      </c>
      <c r="E603" s="208" t="s">
        <v>1264</v>
      </c>
      <c r="F603" s="192">
        <v>749924</v>
      </c>
      <c r="G603" s="7" t="s">
        <v>11</v>
      </c>
      <c r="H603" s="225" t="s">
        <v>29</v>
      </c>
      <c r="I603" s="9" t="s">
        <v>1342</v>
      </c>
    </row>
    <row r="604" spans="1:9" ht="40.5">
      <c r="A604" s="238">
        <v>602</v>
      </c>
      <c r="B604" s="234" t="s">
        <v>1255</v>
      </c>
      <c r="C604" s="225" t="s">
        <v>13</v>
      </c>
      <c r="D604" s="226">
        <v>12.8</v>
      </c>
      <c r="E604" s="208" t="s">
        <v>1265</v>
      </c>
      <c r="F604" s="192">
        <v>1560274</v>
      </c>
      <c r="G604" s="7" t="s">
        <v>11</v>
      </c>
      <c r="H604" s="225" t="s">
        <v>29</v>
      </c>
      <c r="I604" s="9" t="s">
        <v>1342</v>
      </c>
    </row>
    <row r="605" spans="1:9" ht="40.5">
      <c r="A605" s="238">
        <v>603</v>
      </c>
      <c r="B605" s="234" t="s">
        <v>1255</v>
      </c>
      <c r="C605" s="225" t="s">
        <v>13</v>
      </c>
      <c r="D605" s="226">
        <v>47.8</v>
      </c>
      <c r="E605" s="208" t="s">
        <v>1266</v>
      </c>
      <c r="F605" s="192">
        <v>2884909</v>
      </c>
      <c r="G605" s="7" t="s">
        <v>11</v>
      </c>
      <c r="H605" s="225" t="s">
        <v>12</v>
      </c>
      <c r="I605" s="9" t="s">
        <v>1342</v>
      </c>
    </row>
    <row r="606" spans="1:9" ht="40.5">
      <c r="A606" s="238">
        <v>604</v>
      </c>
      <c r="B606" s="234" t="s">
        <v>1255</v>
      </c>
      <c r="C606" s="225" t="s">
        <v>703</v>
      </c>
      <c r="D606" s="226">
        <v>18.100000000000001</v>
      </c>
      <c r="E606" s="209" t="s">
        <v>1267</v>
      </c>
      <c r="F606" s="192">
        <v>5813622</v>
      </c>
      <c r="G606" s="7" t="s">
        <v>11</v>
      </c>
      <c r="H606" s="225" t="s">
        <v>29</v>
      </c>
      <c r="I606" s="9" t="s">
        <v>1342</v>
      </c>
    </row>
    <row r="607" spans="1:9" ht="40.5">
      <c r="A607" s="238">
        <v>605</v>
      </c>
      <c r="B607" s="234" t="s">
        <v>1255</v>
      </c>
      <c r="C607" s="225" t="s">
        <v>703</v>
      </c>
      <c r="D607" s="226">
        <v>50.4</v>
      </c>
      <c r="E607" s="209" t="s">
        <v>1268</v>
      </c>
      <c r="F607" s="192">
        <v>1444931</v>
      </c>
      <c r="G607" s="7" t="s">
        <v>11</v>
      </c>
      <c r="H607" s="225" t="s">
        <v>12</v>
      </c>
      <c r="I607" s="9" t="s">
        <v>1342</v>
      </c>
    </row>
    <row r="608" spans="1:9" ht="40.5">
      <c r="A608" s="238">
        <v>606</v>
      </c>
      <c r="B608" s="234" t="s">
        <v>1269</v>
      </c>
      <c r="C608" s="225" t="s">
        <v>703</v>
      </c>
      <c r="D608" s="226">
        <v>17.3</v>
      </c>
      <c r="E608" s="209" t="s">
        <v>1270</v>
      </c>
      <c r="F608" s="192">
        <v>563521</v>
      </c>
      <c r="G608" s="7" t="s">
        <v>11</v>
      </c>
      <c r="H608" s="225" t="s">
        <v>29</v>
      </c>
      <c r="I608" s="9" t="s">
        <v>1342</v>
      </c>
    </row>
    <row r="609" spans="1:9" ht="40.5">
      <c r="A609" s="238">
        <v>607</v>
      </c>
      <c r="B609" s="234" t="s">
        <v>1269</v>
      </c>
      <c r="C609" s="225" t="s">
        <v>703</v>
      </c>
      <c r="D609" s="226">
        <v>18.13</v>
      </c>
      <c r="E609" s="209" t="s">
        <v>1271</v>
      </c>
      <c r="F609" s="192">
        <v>6727939</v>
      </c>
      <c r="G609" s="7" t="s">
        <v>11</v>
      </c>
      <c r="H609" s="225" t="s">
        <v>29</v>
      </c>
      <c r="I609" s="9" t="s">
        <v>1342</v>
      </c>
    </row>
    <row r="610" spans="1:9" ht="40.5">
      <c r="A610" s="238">
        <v>608</v>
      </c>
      <c r="B610" s="234" t="s">
        <v>1269</v>
      </c>
      <c r="C610" s="225" t="s">
        <v>703</v>
      </c>
      <c r="D610" s="226">
        <v>50.2</v>
      </c>
      <c r="E610" s="209" t="s">
        <v>1272</v>
      </c>
      <c r="F610" s="192">
        <v>2139090</v>
      </c>
      <c r="G610" s="7" t="s">
        <v>11</v>
      </c>
      <c r="H610" s="225" t="s">
        <v>12</v>
      </c>
      <c r="I610" s="9" t="s">
        <v>1342</v>
      </c>
    </row>
    <row r="611" spans="1:9" ht="27">
      <c r="A611" s="238">
        <v>609</v>
      </c>
      <c r="B611" s="234" t="s">
        <v>1273</v>
      </c>
      <c r="C611" s="225" t="s">
        <v>34</v>
      </c>
      <c r="D611" s="226" t="s">
        <v>1274</v>
      </c>
      <c r="E611" s="208" t="s">
        <v>1275</v>
      </c>
      <c r="F611" s="192">
        <v>965090767</v>
      </c>
      <c r="G611" s="7" t="s">
        <v>11</v>
      </c>
      <c r="H611" s="225" t="s">
        <v>12</v>
      </c>
      <c r="I611" s="9" t="s">
        <v>1342</v>
      </c>
    </row>
    <row r="612" spans="1:9" ht="40.5">
      <c r="A612" s="238">
        <v>610</v>
      </c>
      <c r="B612" s="234" t="s">
        <v>1273</v>
      </c>
      <c r="C612" s="225" t="s">
        <v>34</v>
      </c>
      <c r="D612" s="226" t="s">
        <v>1276</v>
      </c>
      <c r="E612" s="208" t="s">
        <v>1277</v>
      </c>
      <c r="F612" s="192">
        <v>5600513</v>
      </c>
      <c r="G612" s="7" t="s">
        <v>11</v>
      </c>
      <c r="H612" s="225" t="s">
        <v>12</v>
      </c>
      <c r="I612" s="9" t="s">
        <v>1342</v>
      </c>
    </row>
    <row r="613" spans="1:9" ht="40.5">
      <c r="A613" s="238">
        <v>611</v>
      </c>
      <c r="B613" s="234" t="s">
        <v>1273</v>
      </c>
      <c r="C613" s="225" t="s">
        <v>37</v>
      </c>
      <c r="D613" s="225" t="s">
        <v>1278</v>
      </c>
      <c r="E613" s="208" t="s">
        <v>1279</v>
      </c>
      <c r="F613" s="192">
        <v>481569</v>
      </c>
      <c r="G613" s="7" t="s">
        <v>11</v>
      </c>
      <c r="H613" s="225" t="s">
        <v>12</v>
      </c>
      <c r="I613" s="9" t="s">
        <v>1342</v>
      </c>
    </row>
    <row r="614" spans="1:9" ht="54">
      <c r="A614" s="238">
        <v>612</v>
      </c>
      <c r="B614" s="234" t="s">
        <v>1273</v>
      </c>
      <c r="C614" s="225" t="s">
        <v>37</v>
      </c>
      <c r="D614" s="225">
        <v>33</v>
      </c>
      <c r="E614" s="208" t="s">
        <v>1280</v>
      </c>
      <c r="F614" s="192">
        <v>991711666</v>
      </c>
      <c r="G614" s="7" t="s">
        <v>11</v>
      </c>
      <c r="H614" s="225" t="s">
        <v>19</v>
      </c>
      <c r="I614" s="9" t="s">
        <v>1342</v>
      </c>
    </row>
    <row r="615" spans="1:9" ht="54">
      <c r="A615" s="238">
        <v>613</v>
      </c>
      <c r="B615" s="234" t="s">
        <v>1273</v>
      </c>
      <c r="C615" s="225" t="s">
        <v>9</v>
      </c>
      <c r="D615" s="226" t="s">
        <v>1281</v>
      </c>
      <c r="E615" s="208" t="s">
        <v>1282</v>
      </c>
      <c r="F615" s="192">
        <v>1963467</v>
      </c>
      <c r="G615" s="7" t="s">
        <v>11</v>
      </c>
      <c r="H615" s="225" t="s">
        <v>19</v>
      </c>
      <c r="I615" s="9" t="s">
        <v>1342</v>
      </c>
    </row>
    <row r="616" spans="1:9" ht="40.5">
      <c r="A616" s="238">
        <v>614</v>
      </c>
      <c r="B616" s="234" t="s">
        <v>1273</v>
      </c>
      <c r="C616" s="225" t="s">
        <v>9</v>
      </c>
      <c r="D616" s="226" t="s">
        <v>1283</v>
      </c>
      <c r="E616" s="208" t="s">
        <v>1284</v>
      </c>
      <c r="F616" s="192">
        <v>161199211</v>
      </c>
      <c r="G616" s="7" t="s">
        <v>11</v>
      </c>
      <c r="H616" s="225" t="s">
        <v>19</v>
      </c>
      <c r="I616" s="9" t="s">
        <v>1342</v>
      </c>
    </row>
    <row r="617" spans="1:9" ht="54">
      <c r="A617" s="238">
        <v>615</v>
      </c>
      <c r="B617" s="234" t="s">
        <v>1273</v>
      </c>
      <c r="C617" s="225" t="s">
        <v>9</v>
      </c>
      <c r="D617" s="226" t="s">
        <v>1285</v>
      </c>
      <c r="E617" s="208" t="s">
        <v>1286</v>
      </c>
      <c r="F617" s="192">
        <v>197903219</v>
      </c>
      <c r="G617" s="7" t="s">
        <v>11</v>
      </c>
      <c r="H617" s="225" t="s">
        <v>19</v>
      </c>
      <c r="I617" s="9" t="s">
        <v>1342</v>
      </c>
    </row>
    <row r="618" spans="1:9" ht="67.5">
      <c r="A618" s="238">
        <v>616</v>
      </c>
      <c r="B618" s="234" t="s">
        <v>1273</v>
      </c>
      <c r="C618" s="225" t="s">
        <v>13</v>
      </c>
      <c r="D618" s="226">
        <v>3</v>
      </c>
      <c r="E618" s="208" t="s">
        <v>1287</v>
      </c>
      <c r="F618" s="192">
        <v>85682322</v>
      </c>
      <c r="G618" s="7" t="s">
        <v>11</v>
      </c>
      <c r="H618" s="225" t="s">
        <v>12</v>
      </c>
      <c r="I618" s="9" t="s">
        <v>1342</v>
      </c>
    </row>
    <row r="619" spans="1:9" ht="40.5">
      <c r="A619" s="238">
        <v>617</v>
      </c>
      <c r="B619" s="234" t="s">
        <v>1273</v>
      </c>
      <c r="C619" s="225" t="s">
        <v>13</v>
      </c>
      <c r="D619" s="226">
        <v>20</v>
      </c>
      <c r="E619" s="208" t="s">
        <v>1288</v>
      </c>
      <c r="F619" s="192">
        <v>81500000</v>
      </c>
      <c r="G619" s="7" t="s">
        <v>11</v>
      </c>
      <c r="H619" s="225" t="s">
        <v>12</v>
      </c>
      <c r="I619" s="9" t="s">
        <v>1342</v>
      </c>
    </row>
    <row r="620" spans="1:9" ht="40.5">
      <c r="A620" s="238">
        <v>618</v>
      </c>
      <c r="B620" s="234" t="s">
        <v>1273</v>
      </c>
      <c r="C620" s="225" t="s">
        <v>13</v>
      </c>
      <c r="D620" s="226">
        <v>27.3</v>
      </c>
      <c r="E620" s="208" t="s">
        <v>1289</v>
      </c>
      <c r="F620" s="192">
        <v>376000</v>
      </c>
      <c r="G620" s="7" t="s">
        <v>11</v>
      </c>
      <c r="H620" s="225" t="s">
        <v>44</v>
      </c>
      <c r="I620" s="9" t="s">
        <v>1342</v>
      </c>
    </row>
    <row r="621" spans="1:9" ht="54">
      <c r="A621" s="238">
        <v>619</v>
      </c>
      <c r="B621" s="234" t="s">
        <v>1273</v>
      </c>
      <c r="C621" s="225" t="s">
        <v>13</v>
      </c>
      <c r="D621" s="226">
        <v>47.12</v>
      </c>
      <c r="E621" s="208" t="s">
        <v>1290</v>
      </c>
      <c r="F621" s="192">
        <v>1842151</v>
      </c>
      <c r="G621" s="7" t="s">
        <v>11</v>
      </c>
      <c r="H621" s="225" t="s">
        <v>12</v>
      </c>
      <c r="I621" s="9" t="s">
        <v>1342</v>
      </c>
    </row>
    <row r="622" spans="1:9" ht="54">
      <c r="A622" s="238">
        <v>620</v>
      </c>
      <c r="B622" s="234" t="s">
        <v>1273</v>
      </c>
      <c r="C622" s="225" t="s">
        <v>1150</v>
      </c>
      <c r="D622" s="225" t="s">
        <v>872</v>
      </c>
      <c r="E622" s="209" t="s">
        <v>1291</v>
      </c>
      <c r="F622" s="192">
        <v>6208856</v>
      </c>
      <c r="G622" s="7" t="s">
        <v>11</v>
      </c>
      <c r="H622" s="225" t="s">
        <v>19</v>
      </c>
      <c r="I622" s="9" t="s">
        <v>1342</v>
      </c>
    </row>
    <row r="623" spans="1:9" ht="40.5">
      <c r="A623" s="238">
        <v>621</v>
      </c>
      <c r="B623" s="234" t="s">
        <v>1273</v>
      </c>
      <c r="C623" s="225" t="s">
        <v>1150</v>
      </c>
      <c r="D623" s="225" t="s">
        <v>1292</v>
      </c>
      <c r="E623" s="209" t="s">
        <v>1293</v>
      </c>
      <c r="F623" s="192">
        <v>434000</v>
      </c>
      <c r="G623" s="7" t="s">
        <v>11</v>
      </c>
      <c r="H623" s="225" t="s">
        <v>12</v>
      </c>
      <c r="I623" s="9" t="s">
        <v>1342</v>
      </c>
    </row>
    <row r="624" spans="1:9" ht="27">
      <c r="A624" s="238">
        <v>622</v>
      </c>
      <c r="B624" s="234" t="s">
        <v>1273</v>
      </c>
      <c r="C624" s="225" t="s">
        <v>1150</v>
      </c>
      <c r="D624" s="226">
        <v>44</v>
      </c>
      <c r="E624" s="209" t="s">
        <v>1294</v>
      </c>
      <c r="F624" s="192">
        <v>2316012</v>
      </c>
      <c r="G624" s="7" t="s">
        <v>11</v>
      </c>
      <c r="H624" s="225" t="s">
        <v>12</v>
      </c>
      <c r="I624" s="9" t="s">
        <v>1342</v>
      </c>
    </row>
    <row r="625" spans="1:9" ht="40.5">
      <c r="A625" s="238">
        <v>623</v>
      </c>
      <c r="B625" s="234" t="s">
        <v>1273</v>
      </c>
      <c r="C625" s="225" t="s">
        <v>180</v>
      </c>
      <c r="D625" s="226">
        <v>50.3</v>
      </c>
      <c r="E625" s="208" t="s">
        <v>1295</v>
      </c>
      <c r="F625" s="192">
        <v>410344788</v>
      </c>
      <c r="G625" s="7" t="s">
        <v>11</v>
      </c>
      <c r="H625" s="225" t="s">
        <v>1296</v>
      </c>
      <c r="I625" s="9" t="s">
        <v>1342</v>
      </c>
    </row>
    <row r="626" spans="1:9" ht="40.5">
      <c r="A626" s="238">
        <v>624</v>
      </c>
      <c r="B626" s="234" t="s">
        <v>1273</v>
      </c>
      <c r="C626" s="225" t="s">
        <v>180</v>
      </c>
      <c r="D626" s="226">
        <v>52</v>
      </c>
      <c r="E626" s="208" t="s">
        <v>1297</v>
      </c>
      <c r="F626" s="192">
        <v>3678778000</v>
      </c>
      <c r="G626" s="7" t="s">
        <v>11</v>
      </c>
      <c r="H626" s="225" t="s">
        <v>990</v>
      </c>
      <c r="I626" s="9" t="s">
        <v>1342</v>
      </c>
    </row>
    <row r="627" spans="1:9" ht="54">
      <c r="A627" s="238">
        <v>625</v>
      </c>
      <c r="B627" s="234" t="s">
        <v>1273</v>
      </c>
      <c r="C627" s="225" t="s">
        <v>180</v>
      </c>
      <c r="D627" s="226">
        <v>77</v>
      </c>
      <c r="E627" s="208" t="s">
        <v>1298</v>
      </c>
      <c r="F627" s="192">
        <v>916892810</v>
      </c>
      <c r="G627" s="7" t="s">
        <v>11</v>
      </c>
      <c r="H627" s="225" t="s">
        <v>1129</v>
      </c>
      <c r="I627" s="9" t="s">
        <v>1342</v>
      </c>
    </row>
    <row r="628" spans="1:9" ht="54">
      <c r="A628" s="238">
        <v>626</v>
      </c>
      <c r="B628" s="234" t="s">
        <v>1273</v>
      </c>
      <c r="C628" s="225" t="s">
        <v>180</v>
      </c>
      <c r="D628" s="226">
        <v>89.2</v>
      </c>
      <c r="E628" s="208" t="s">
        <v>1299</v>
      </c>
      <c r="F628" s="192">
        <v>4153732281</v>
      </c>
      <c r="G628" s="7" t="s">
        <v>11</v>
      </c>
      <c r="H628" s="225" t="s">
        <v>1300</v>
      </c>
      <c r="I628" s="9" t="s">
        <v>1342</v>
      </c>
    </row>
    <row r="629" spans="1:9" ht="54">
      <c r="A629" s="238">
        <v>627</v>
      </c>
      <c r="B629" s="235" t="s">
        <v>1301</v>
      </c>
      <c r="C629" s="225" t="s">
        <v>9</v>
      </c>
      <c r="D629" s="226" t="s">
        <v>1302</v>
      </c>
      <c r="E629" s="208" t="s">
        <v>1303</v>
      </c>
      <c r="F629" s="192">
        <v>65372986</v>
      </c>
      <c r="G629" s="7" t="s">
        <v>11</v>
      </c>
      <c r="H629" s="225" t="s">
        <v>12</v>
      </c>
      <c r="I629" s="9" t="s">
        <v>1342</v>
      </c>
    </row>
    <row r="630" spans="1:9" ht="40.5">
      <c r="A630" s="238">
        <v>628</v>
      </c>
      <c r="B630" s="234" t="s">
        <v>1301</v>
      </c>
      <c r="C630" s="225" t="s">
        <v>9</v>
      </c>
      <c r="D630" s="225">
        <v>10</v>
      </c>
      <c r="E630" s="208" t="s">
        <v>1304</v>
      </c>
      <c r="F630" s="192">
        <v>241401040</v>
      </c>
      <c r="G630" s="7" t="s">
        <v>11</v>
      </c>
      <c r="H630" s="225" t="s">
        <v>19</v>
      </c>
      <c r="I630" s="9" t="s">
        <v>1342</v>
      </c>
    </row>
    <row r="631" spans="1:9" ht="27">
      <c r="A631" s="238">
        <v>629</v>
      </c>
      <c r="B631" s="234" t="s">
        <v>1301</v>
      </c>
      <c r="C631" s="225" t="s">
        <v>9</v>
      </c>
      <c r="D631" s="226" t="s">
        <v>1305</v>
      </c>
      <c r="E631" s="208" t="s">
        <v>1306</v>
      </c>
      <c r="F631" s="192">
        <v>67198351</v>
      </c>
      <c r="G631" s="7" t="s">
        <v>11</v>
      </c>
      <c r="H631" s="225" t="s">
        <v>19</v>
      </c>
      <c r="I631" s="9" t="s">
        <v>1342</v>
      </c>
    </row>
    <row r="632" spans="1:9" ht="40.5">
      <c r="A632" s="238">
        <v>630</v>
      </c>
      <c r="B632" s="234" t="s">
        <v>1301</v>
      </c>
      <c r="C632" s="225" t="s">
        <v>9</v>
      </c>
      <c r="D632" s="226" t="s">
        <v>1307</v>
      </c>
      <c r="E632" s="208" t="s">
        <v>1308</v>
      </c>
      <c r="F632" s="192">
        <v>74212026</v>
      </c>
      <c r="G632" s="7" t="s">
        <v>11</v>
      </c>
      <c r="H632" s="225" t="s">
        <v>19</v>
      </c>
      <c r="I632" s="9" t="s">
        <v>1342</v>
      </c>
    </row>
    <row r="633" spans="1:9" ht="54">
      <c r="A633" s="238">
        <v>631</v>
      </c>
      <c r="B633" s="234" t="s">
        <v>1301</v>
      </c>
      <c r="C633" s="225" t="s">
        <v>9</v>
      </c>
      <c r="D633" s="226" t="s">
        <v>1309</v>
      </c>
      <c r="E633" s="208" t="s">
        <v>1286</v>
      </c>
      <c r="F633" s="192">
        <v>47562956</v>
      </c>
      <c r="G633" s="7" t="s">
        <v>11</v>
      </c>
      <c r="H633" s="225" t="s">
        <v>19</v>
      </c>
      <c r="I633" s="9" t="s">
        <v>1342</v>
      </c>
    </row>
    <row r="634" spans="1:9" ht="40.5">
      <c r="A634" s="238">
        <v>632</v>
      </c>
      <c r="B634" s="234" t="s">
        <v>1301</v>
      </c>
      <c r="C634" s="225" t="s">
        <v>1310</v>
      </c>
      <c r="D634" s="226">
        <v>31</v>
      </c>
      <c r="E634" s="209" t="s">
        <v>1311</v>
      </c>
      <c r="F634" s="192">
        <v>103296062</v>
      </c>
      <c r="G634" s="7" t="s">
        <v>11</v>
      </c>
      <c r="H634" s="225" t="s">
        <v>19</v>
      </c>
      <c r="I634" s="9" t="s">
        <v>1342</v>
      </c>
    </row>
    <row r="635" spans="1:9" ht="40.5">
      <c r="A635" s="238">
        <v>633</v>
      </c>
      <c r="B635" s="234" t="s">
        <v>1301</v>
      </c>
      <c r="C635" s="225" t="s">
        <v>1310</v>
      </c>
      <c r="D635" s="226">
        <v>41.2</v>
      </c>
      <c r="E635" s="209" t="s">
        <v>1312</v>
      </c>
      <c r="F635" s="192">
        <v>403255744</v>
      </c>
      <c r="G635" s="7" t="s">
        <v>11</v>
      </c>
      <c r="H635" s="225" t="s">
        <v>19</v>
      </c>
      <c r="I635" s="9" t="s">
        <v>1342</v>
      </c>
    </row>
    <row r="636" spans="1:9" ht="40.5">
      <c r="A636" s="238">
        <v>634</v>
      </c>
      <c r="B636" s="234" t="s">
        <v>1301</v>
      </c>
      <c r="C636" s="225" t="s">
        <v>1310</v>
      </c>
      <c r="D636" s="226">
        <v>64</v>
      </c>
      <c r="E636" s="209" t="s">
        <v>1313</v>
      </c>
      <c r="F636" s="192">
        <v>54608048</v>
      </c>
      <c r="G636" s="7" t="s">
        <v>11</v>
      </c>
      <c r="H636" s="225" t="s">
        <v>19</v>
      </c>
      <c r="I636" s="9" t="s">
        <v>1342</v>
      </c>
    </row>
    <row r="637" spans="1:9" ht="54">
      <c r="A637" s="238">
        <v>635</v>
      </c>
      <c r="B637" s="127" t="s">
        <v>1314</v>
      </c>
      <c r="C637" s="225" t="s">
        <v>1315</v>
      </c>
      <c r="D637" s="226">
        <v>9</v>
      </c>
      <c r="E637" s="208" t="s">
        <v>1316</v>
      </c>
      <c r="F637" s="192">
        <v>432302350</v>
      </c>
      <c r="G637" s="7" t="s">
        <v>11</v>
      </c>
      <c r="H637" s="225" t="s">
        <v>1317</v>
      </c>
      <c r="I637" s="9" t="s">
        <v>1342</v>
      </c>
    </row>
    <row r="638" spans="1:9" ht="94.5">
      <c r="A638" s="238">
        <v>636</v>
      </c>
      <c r="B638" s="127" t="s">
        <v>1314</v>
      </c>
      <c r="C638" s="225" t="s">
        <v>1315</v>
      </c>
      <c r="D638" s="226">
        <v>25</v>
      </c>
      <c r="E638" s="208" t="s">
        <v>1318</v>
      </c>
      <c r="F638" s="192">
        <v>116296260</v>
      </c>
      <c r="G638" s="7" t="s">
        <v>11</v>
      </c>
      <c r="H638" s="225" t="s">
        <v>47</v>
      </c>
      <c r="I638" s="9" t="s">
        <v>1342</v>
      </c>
    </row>
    <row r="639" spans="1:9" ht="67.5">
      <c r="A639" s="238">
        <v>637</v>
      </c>
      <c r="B639" s="127" t="s">
        <v>1314</v>
      </c>
      <c r="C639" s="225" t="s">
        <v>1315</v>
      </c>
      <c r="D639" s="226">
        <v>26</v>
      </c>
      <c r="E639" s="208" t="s">
        <v>1319</v>
      </c>
      <c r="F639" s="192">
        <v>189466000</v>
      </c>
      <c r="G639" s="7" t="s">
        <v>11</v>
      </c>
      <c r="H639" s="225" t="s">
        <v>1129</v>
      </c>
      <c r="I639" s="9" t="s">
        <v>1342</v>
      </c>
    </row>
    <row r="640" spans="1:9" ht="54">
      <c r="A640" s="238">
        <v>638</v>
      </c>
      <c r="B640" s="127" t="s">
        <v>1314</v>
      </c>
      <c r="C640" s="225" t="s">
        <v>1315</v>
      </c>
      <c r="D640" s="226">
        <v>27</v>
      </c>
      <c r="E640" s="208" t="s">
        <v>1320</v>
      </c>
      <c r="F640" s="192">
        <v>47330397</v>
      </c>
      <c r="G640" s="7" t="s">
        <v>11</v>
      </c>
      <c r="H640" s="225" t="s">
        <v>1129</v>
      </c>
      <c r="I640" s="9" t="s">
        <v>1342</v>
      </c>
    </row>
    <row r="641" spans="1:9" ht="54">
      <c r="A641" s="238">
        <v>639</v>
      </c>
      <c r="B641" s="127" t="s">
        <v>1314</v>
      </c>
      <c r="C641" s="225" t="s">
        <v>1315</v>
      </c>
      <c r="D641" s="226">
        <v>33</v>
      </c>
      <c r="E641" s="208" t="s">
        <v>1321</v>
      </c>
      <c r="F641" s="192">
        <v>457612313</v>
      </c>
      <c r="G641" s="7" t="s">
        <v>11</v>
      </c>
      <c r="H641" s="225" t="s">
        <v>1129</v>
      </c>
      <c r="I641" s="9" t="s">
        <v>1342</v>
      </c>
    </row>
    <row r="642" spans="1:9" ht="40.5">
      <c r="A642" s="238">
        <v>640</v>
      </c>
      <c r="B642" s="127" t="s">
        <v>1314</v>
      </c>
      <c r="C642" s="225" t="s">
        <v>1315</v>
      </c>
      <c r="D642" s="226">
        <v>36.200000000000003</v>
      </c>
      <c r="E642" s="208" t="s">
        <v>1322</v>
      </c>
      <c r="F642" s="192">
        <v>139695927</v>
      </c>
      <c r="G642" s="7" t="s">
        <v>11</v>
      </c>
      <c r="H642" s="225" t="s">
        <v>1296</v>
      </c>
      <c r="I642" s="9" t="s">
        <v>1342</v>
      </c>
    </row>
    <row r="643" spans="1:9" ht="81">
      <c r="A643" s="238">
        <v>641</v>
      </c>
      <c r="B643" s="127" t="s">
        <v>1314</v>
      </c>
      <c r="C643" s="225" t="s">
        <v>1315</v>
      </c>
      <c r="D643" s="226">
        <v>58</v>
      </c>
      <c r="E643" s="208" t="s">
        <v>1323</v>
      </c>
      <c r="F643" s="192">
        <v>72892955</v>
      </c>
      <c r="G643" s="7" t="s">
        <v>11</v>
      </c>
      <c r="H643" s="225" t="s">
        <v>1324</v>
      </c>
      <c r="I643" s="9" t="s">
        <v>1342</v>
      </c>
    </row>
    <row r="644" spans="1:9" ht="40.5">
      <c r="A644" s="238">
        <v>642</v>
      </c>
      <c r="B644" s="127" t="s">
        <v>1314</v>
      </c>
      <c r="C644" s="225" t="s">
        <v>1315</v>
      </c>
      <c r="D644" s="226">
        <v>70</v>
      </c>
      <c r="E644" s="208" t="s">
        <v>1325</v>
      </c>
      <c r="F644" s="192">
        <v>1783548</v>
      </c>
      <c r="G644" s="7" t="s">
        <v>11</v>
      </c>
      <c r="H644" s="225" t="s">
        <v>47</v>
      </c>
      <c r="I644" s="9" t="s">
        <v>1342</v>
      </c>
    </row>
    <row r="645" spans="1:9" ht="40.5">
      <c r="A645" s="238">
        <v>643</v>
      </c>
      <c r="B645" s="127" t="s">
        <v>1103</v>
      </c>
      <c r="C645" s="225" t="s">
        <v>180</v>
      </c>
      <c r="D645" s="226">
        <v>137</v>
      </c>
      <c r="E645" s="208" t="s">
        <v>1326</v>
      </c>
      <c r="F645" s="192">
        <v>1312907</v>
      </c>
      <c r="G645" s="9" t="s">
        <v>43</v>
      </c>
      <c r="H645" s="225" t="s">
        <v>1129</v>
      </c>
      <c r="I645" s="9" t="s">
        <v>1342</v>
      </c>
    </row>
    <row r="646" spans="1:9" ht="40.5">
      <c r="A646" s="238">
        <v>644</v>
      </c>
      <c r="B646" s="127" t="s">
        <v>1130</v>
      </c>
      <c r="C646" s="225" t="s">
        <v>13</v>
      </c>
      <c r="D646" s="226">
        <v>81.2</v>
      </c>
      <c r="E646" s="208" t="s">
        <v>1327</v>
      </c>
      <c r="F646" s="192">
        <v>1228692</v>
      </c>
      <c r="G646" s="9" t="s">
        <v>43</v>
      </c>
      <c r="H646" s="225" t="s">
        <v>12</v>
      </c>
      <c r="I646" s="9" t="s">
        <v>1342</v>
      </c>
    </row>
    <row r="647" spans="1:9" ht="67.5">
      <c r="A647" s="238">
        <v>645</v>
      </c>
      <c r="B647" s="234" t="s">
        <v>1175</v>
      </c>
      <c r="C647" s="225" t="s">
        <v>9</v>
      </c>
      <c r="D647" s="225">
        <v>78</v>
      </c>
      <c r="E647" s="208" t="s">
        <v>1328</v>
      </c>
      <c r="F647" s="192"/>
      <c r="G647" s="9" t="s">
        <v>43</v>
      </c>
      <c r="H647" s="225" t="s">
        <v>12</v>
      </c>
      <c r="I647" s="9" t="s">
        <v>1342</v>
      </c>
    </row>
    <row r="648" spans="1:9" ht="54">
      <c r="A648" s="238">
        <v>646</v>
      </c>
      <c r="B648" s="234" t="s">
        <v>1192</v>
      </c>
      <c r="C648" s="225" t="s">
        <v>9</v>
      </c>
      <c r="D648" s="225">
        <v>64</v>
      </c>
      <c r="E648" s="208" t="s">
        <v>1329</v>
      </c>
      <c r="F648" s="192">
        <v>1667235</v>
      </c>
      <c r="G648" s="9" t="s">
        <v>43</v>
      </c>
      <c r="H648" s="225" t="s">
        <v>19</v>
      </c>
      <c r="I648" s="9" t="s">
        <v>1342</v>
      </c>
    </row>
    <row r="649" spans="1:9" ht="54">
      <c r="A649" s="238">
        <v>647</v>
      </c>
      <c r="B649" s="234" t="s">
        <v>1192</v>
      </c>
      <c r="C649" s="225" t="s">
        <v>1150</v>
      </c>
      <c r="D649" s="226">
        <v>69</v>
      </c>
      <c r="E649" s="209" t="s">
        <v>1330</v>
      </c>
      <c r="F649" s="192">
        <v>3.7625899999999999</v>
      </c>
      <c r="G649" s="9" t="s">
        <v>43</v>
      </c>
      <c r="H649" s="225" t="s">
        <v>19</v>
      </c>
      <c r="I649" s="9" t="s">
        <v>1342</v>
      </c>
    </row>
    <row r="650" spans="1:9" ht="40.5">
      <c r="A650" s="238">
        <v>648</v>
      </c>
      <c r="B650" s="234" t="s">
        <v>1213</v>
      </c>
      <c r="C650" s="225" t="s">
        <v>1150</v>
      </c>
      <c r="D650" s="226">
        <v>74</v>
      </c>
      <c r="E650" s="209" t="s">
        <v>1331</v>
      </c>
      <c r="F650" s="192">
        <v>135000</v>
      </c>
      <c r="G650" s="9" t="s">
        <v>43</v>
      </c>
      <c r="H650" s="225" t="s">
        <v>19</v>
      </c>
      <c r="I650" s="9" t="s">
        <v>1342</v>
      </c>
    </row>
    <row r="651" spans="1:9" ht="27">
      <c r="A651" s="238">
        <v>649</v>
      </c>
      <c r="B651" s="234" t="s">
        <v>1213</v>
      </c>
      <c r="C651" s="225" t="s">
        <v>1150</v>
      </c>
      <c r="D651" s="226">
        <v>78</v>
      </c>
      <c r="E651" s="209" t="s">
        <v>1332</v>
      </c>
      <c r="F651" s="192">
        <v>436800</v>
      </c>
      <c r="G651" s="9" t="s">
        <v>43</v>
      </c>
      <c r="H651" s="225" t="s">
        <v>12</v>
      </c>
      <c r="I651" s="9" t="s">
        <v>1342</v>
      </c>
    </row>
    <row r="652" spans="1:9" ht="40.5">
      <c r="A652" s="238">
        <v>650</v>
      </c>
      <c r="B652" s="234" t="s">
        <v>1231</v>
      </c>
      <c r="C652" s="225" t="s">
        <v>180</v>
      </c>
      <c r="D652" s="227">
        <v>134</v>
      </c>
      <c r="E652" s="209" t="s">
        <v>1333</v>
      </c>
      <c r="F652" s="192">
        <v>2114000</v>
      </c>
      <c r="G652" s="9" t="s">
        <v>43</v>
      </c>
      <c r="H652" s="225" t="s">
        <v>47</v>
      </c>
      <c r="I652" s="9" t="s">
        <v>1342</v>
      </c>
    </row>
    <row r="653" spans="1:9" ht="40.5">
      <c r="A653" s="238">
        <v>651</v>
      </c>
      <c r="B653" s="234" t="s">
        <v>1231</v>
      </c>
      <c r="C653" s="225" t="s">
        <v>180</v>
      </c>
      <c r="D653" s="227">
        <v>139</v>
      </c>
      <c r="E653" s="209" t="s">
        <v>1334</v>
      </c>
      <c r="F653" s="192">
        <v>4127947</v>
      </c>
      <c r="G653" s="9" t="s">
        <v>43</v>
      </c>
      <c r="H653" s="225" t="s">
        <v>1129</v>
      </c>
      <c r="I653" s="9" t="s">
        <v>1342</v>
      </c>
    </row>
    <row r="654" spans="1:9" ht="40.5">
      <c r="A654" s="238">
        <v>652</v>
      </c>
      <c r="B654" s="234" t="s">
        <v>1255</v>
      </c>
      <c r="C654" s="225" t="s">
        <v>9</v>
      </c>
      <c r="D654" s="226" t="s">
        <v>1335</v>
      </c>
      <c r="E654" s="208" t="s">
        <v>1336</v>
      </c>
      <c r="F654" s="192">
        <v>2481390</v>
      </c>
      <c r="G654" s="9" t="s">
        <v>43</v>
      </c>
      <c r="H654" s="225" t="s">
        <v>47</v>
      </c>
      <c r="I654" s="9" t="s">
        <v>1342</v>
      </c>
    </row>
    <row r="655" spans="1:9" ht="40.5">
      <c r="A655" s="238">
        <v>653</v>
      </c>
      <c r="B655" s="234" t="s">
        <v>1255</v>
      </c>
      <c r="C655" s="225" t="s">
        <v>9</v>
      </c>
      <c r="D655" s="225">
        <v>77</v>
      </c>
      <c r="E655" s="208" t="s">
        <v>1337</v>
      </c>
      <c r="F655" s="192">
        <v>3597978</v>
      </c>
      <c r="G655" s="9" t="s">
        <v>43</v>
      </c>
      <c r="H655" s="225" t="s">
        <v>29</v>
      </c>
      <c r="I655" s="9" t="s">
        <v>1342</v>
      </c>
    </row>
    <row r="656" spans="1:9" ht="27">
      <c r="A656" s="238">
        <v>654</v>
      </c>
      <c r="B656" s="234" t="s">
        <v>1255</v>
      </c>
      <c r="C656" s="225" t="s">
        <v>703</v>
      </c>
      <c r="D656" s="226">
        <v>84.2</v>
      </c>
      <c r="E656" s="209" t="s">
        <v>1338</v>
      </c>
      <c r="F656" s="192">
        <v>1222980</v>
      </c>
      <c r="G656" s="9" t="s">
        <v>43</v>
      </c>
      <c r="H656" s="225" t="s">
        <v>12</v>
      </c>
      <c r="I656" s="9" t="s">
        <v>1342</v>
      </c>
    </row>
    <row r="657" spans="1:9" ht="81">
      <c r="A657" s="238">
        <v>655</v>
      </c>
      <c r="B657" s="127" t="s">
        <v>1314</v>
      </c>
      <c r="C657" s="225" t="s">
        <v>1315</v>
      </c>
      <c r="D657" s="226">
        <v>126</v>
      </c>
      <c r="E657" s="208" t="s">
        <v>1339</v>
      </c>
      <c r="F657" s="192">
        <v>4674595</v>
      </c>
      <c r="G657" s="9" t="s">
        <v>43</v>
      </c>
      <c r="H657" s="225" t="s">
        <v>1129</v>
      </c>
      <c r="I657" s="9" t="s">
        <v>1342</v>
      </c>
    </row>
    <row r="658" spans="1:9" ht="54">
      <c r="A658" s="238">
        <v>656</v>
      </c>
      <c r="B658" s="127" t="s">
        <v>1314</v>
      </c>
      <c r="C658" s="225" t="s">
        <v>1315</v>
      </c>
      <c r="D658" s="226">
        <v>130</v>
      </c>
      <c r="E658" s="208" t="s">
        <v>1340</v>
      </c>
      <c r="F658" s="192">
        <v>178098046</v>
      </c>
      <c r="G658" s="9" t="s">
        <v>43</v>
      </c>
      <c r="H658" s="225" t="s">
        <v>47</v>
      </c>
      <c r="I658" s="9" t="s">
        <v>1342</v>
      </c>
    </row>
    <row r="659" spans="1:9" ht="40.5">
      <c r="A659" s="238">
        <v>657</v>
      </c>
      <c r="B659" s="127" t="s">
        <v>1314</v>
      </c>
      <c r="C659" s="225" t="s">
        <v>1315</v>
      </c>
      <c r="D659" s="226">
        <v>131</v>
      </c>
      <c r="E659" s="208" t="s">
        <v>1341</v>
      </c>
      <c r="F659" s="192">
        <v>16331000</v>
      </c>
      <c r="G659" s="9" t="s">
        <v>43</v>
      </c>
      <c r="H659" s="225" t="s">
        <v>47</v>
      </c>
      <c r="I659" s="9" t="s">
        <v>1342</v>
      </c>
    </row>
    <row r="660" spans="1:9" ht="27">
      <c r="A660" s="238">
        <v>658</v>
      </c>
      <c r="B660" s="210" t="s">
        <v>1355</v>
      </c>
      <c r="C660" s="125" t="s">
        <v>102</v>
      </c>
      <c r="D660" s="125">
        <v>6</v>
      </c>
      <c r="E660" s="210" t="s">
        <v>1373</v>
      </c>
      <c r="F660" s="169">
        <v>2506588</v>
      </c>
      <c r="G660" s="13" t="s">
        <v>11</v>
      </c>
      <c r="H660" s="78"/>
      <c r="I660" s="9" t="s">
        <v>1584</v>
      </c>
    </row>
    <row r="661" spans="1:9" ht="27">
      <c r="A661" s="238">
        <v>659</v>
      </c>
      <c r="B661" s="210" t="s">
        <v>1355</v>
      </c>
      <c r="C661" s="125" t="s">
        <v>137</v>
      </c>
      <c r="D661" s="125">
        <v>4</v>
      </c>
      <c r="E661" s="210" t="s">
        <v>1374</v>
      </c>
      <c r="F661" s="169">
        <v>703051</v>
      </c>
      <c r="G661" s="13" t="s">
        <v>11</v>
      </c>
      <c r="H661" s="78"/>
      <c r="I661" s="9" t="s">
        <v>1584</v>
      </c>
    </row>
    <row r="662" spans="1:9" ht="27">
      <c r="A662" s="238">
        <v>660</v>
      </c>
      <c r="B662" s="210" t="s">
        <v>1355</v>
      </c>
      <c r="C662" s="125" t="s">
        <v>269</v>
      </c>
      <c r="D662" s="228">
        <v>3</v>
      </c>
      <c r="E662" s="210" t="s">
        <v>1375</v>
      </c>
      <c r="F662" s="169">
        <v>130625</v>
      </c>
      <c r="G662" s="13" t="s">
        <v>11</v>
      </c>
      <c r="H662" s="78"/>
      <c r="I662" s="9" t="s">
        <v>1584</v>
      </c>
    </row>
    <row r="663" spans="1:9" ht="40.5">
      <c r="A663" s="238">
        <v>661</v>
      </c>
      <c r="B663" s="210" t="s">
        <v>1355</v>
      </c>
      <c r="C663" s="125" t="s">
        <v>9</v>
      </c>
      <c r="D663" s="125" t="s">
        <v>1376</v>
      </c>
      <c r="E663" s="210" t="s">
        <v>1377</v>
      </c>
      <c r="F663" s="169">
        <v>186849</v>
      </c>
      <c r="G663" s="13" t="s">
        <v>11</v>
      </c>
      <c r="H663" s="78"/>
      <c r="I663" s="9" t="s">
        <v>1584</v>
      </c>
    </row>
    <row r="664" spans="1:9" ht="54">
      <c r="A664" s="238">
        <v>662</v>
      </c>
      <c r="B664" s="210" t="s">
        <v>1355</v>
      </c>
      <c r="C664" s="125" t="s">
        <v>13</v>
      </c>
      <c r="D664" s="229">
        <v>12.2</v>
      </c>
      <c r="E664" s="210" t="s">
        <v>1378</v>
      </c>
      <c r="F664" s="193">
        <v>476568</v>
      </c>
      <c r="G664" s="13" t="s">
        <v>11</v>
      </c>
      <c r="H664" s="78"/>
      <c r="I664" s="9" t="s">
        <v>1584</v>
      </c>
    </row>
    <row r="665" spans="1:9" ht="40.5">
      <c r="A665" s="238">
        <v>663</v>
      </c>
      <c r="B665" s="210" t="s">
        <v>1355</v>
      </c>
      <c r="C665" s="125" t="s">
        <v>13</v>
      </c>
      <c r="D665" s="229">
        <v>40.4</v>
      </c>
      <c r="E665" s="210" t="s">
        <v>1379</v>
      </c>
      <c r="F665" s="193">
        <v>2125896</v>
      </c>
      <c r="G665" s="13" t="s">
        <v>11</v>
      </c>
      <c r="H665" s="78"/>
      <c r="I665" s="9" t="s">
        <v>1584</v>
      </c>
    </row>
    <row r="666" spans="1:9" ht="54">
      <c r="A666" s="238">
        <v>664</v>
      </c>
      <c r="B666" s="210" t="s">
        <v>1355</v>
      </c>
      <c r="C666" s="125" t="s">
        <v>180</v>
      </c>
      <c r="D666" s="229" t="s">
        <v>1380</v>
      </c>
      <c r="E666" s="211" t="s">
        <v>184</v>
      </c>
      <c r="F666" s="193">
        <v>666907</v>
      </c>
      <c r="G666" s="13" t="s">
        <v>11</v>
      </c>
      <c r="H666" s="78"/>
      <c r="I666" s="9" t="s">
        <v>1584</v>
      </c>
    </row>
    <row r="667" spans="1:9" ht="40.5">
      <c r="A667" s="238">
        <v>665</v>
      </c>
      <c r="B667" s="210" t="s">
        <v>1355</v>
      </c>
      <c r="C667" s="125" t="s">
        <v>180</v>
      </c>
      <c r="D667" s="229" t="s">
        <v>1381</v>
      </c>
      <c r="E667" s="212" t="s">
        <v>1382</v>
      </c>
      <c r="F667" s="193">
        <v>12843942</v>
      </c>
      <c r="G667" s="13" t="s">
        <v>11</v>
      </c>
      <c r="H667" s="78"/>
      <c r="I667" s="9" t="s">
        <v>1584</v>
      </c>
    </row>
    <row r="668" spans="1:9" ht="40.5">
      <c r="A668" s="238">
        <v>666</v>
      </c>
      <c r="B668" s="210" t="s">
        <v>1355</v>
      </c>
      <c r="C668" s="125" t="s">
        <v>180</v>
      </c>
      <c r="D668" s="229" t="s">
        <v>1383</v>
      </c>
      <c r="E668" s="210" t="s">
        <v>207</v>
      </c>
      <c r="F668" s="193">
        <v>5243998</v>
      </c>
      <c r="G668" s="13" t="s">
        <v>11</v>
      </c>
      <c r="H668" s="78"/>
      <c r="I668" s="9" t="s">
        <v>1584</v>
      </c>
    </row>
    <row r="669" spans="1:9" ht="54">
      <c r="A669" s="238">
        <v>667</v>
      </c>
      <c r="B669" s="236" t="s">
        <v>1355</v>
      </c>
      <c r="C669" s="125" t="s">
        <v>180</v>
      </c>
      <c r="D669" s="230" t="s">
        <v>1384</v>
      </c>
      <c r="E669" s="210" t="s">
        <v>1385</v>
      </c>
      <c r="F669" s="193">
        <v>798863</v>
      </c>
      <c r="G669" s="13" t="s">
        <v>11</v>
      </c>
      <c r="H669" s="78"/>
      <c r="I669" s="9" t="s">
        <v>1584</v>
      </c>
    </row>
    <row r="670" spans="1:9" ht="40.5">
      <c r="A670" s="238">
        <v>668</v>
      </c>
      <c r="B670" s="210" t="s">
        <v>1355</v>
      </c>
      <c r="C670" s="125" t="s">
        <v>13</v>
      </c>
      <c r="D670" s="229">
        <v>47.2</v>
      </c>
      <c r="E670" s="210" t="s">
        <v>1386</v>
      </c>
      <c r="F670" s="193">
        <v>805050</v>
      </c>
      <c r="G670" s="13" t="s">
        <v>11</v>
      </c>
      <c r="H670" s="78"/>
      <c r="I670" s="9" t="s">
        <v>1584</v>
      </c>
    </row>
    <row r="671" spans="1:9" ht="54">
      <c r="A671" s="238">
        <v>669</v>
      </c>
      <c r="B671" s="210" t="s">
        <v>1356</v>
      </c>
      <c r="C671" s="125" t="s">
        <v>280</v>
      </c>
      <c r="D671" s="125">
        <v>2</v>
      </c>
      <c r="E671" s="210" t="s">
        <v>1387</v>
      </c>
      <c r="F671" s="169">
        <v>1758626</v>
      </c>
      <c r="G671" s="13" t="s">
        <v>11</v>
      </c>
      <c r="H671" s="78"/>
      <c r="I671" s="9" t="s">
        <v>1584</v>
      </c>
    </row>
    <row r="672" spans="1:9" ht="27">
      <c r="A672" s="238">
        <v>670</v>
      </c>
      <c r="B672" s="210" t="s">
        <v>1356</v>
      </c>
      <c r="C672" s="125" t="s">
        <v>69</v>
      </c>
      <c r="D672" s="125">
        <v>2</v>
      </c>
      <c r="E672" s="210" t="s">
        <v>1388</v>
      </c>
      <c r="F672" s="169">
        <v>136184</v>
      </c>
      <c r="G672" s="13" t="s">
        <v>11</v>
      </c>
      <c r="H672" s="78"/>
      <c r="I672" s="9" t="s">
        <v>1584</v>
      </c>
    </row>
    <row r="673" spans="1:9" ht="40.5">
      <c r="A673" s="238">
        <v>671</v>
      </c>
      <c r="B673" s="210" t="s">
        <v>1356</v>
      </c>
      <c r="C673" s="125" t="s">
        <v>37</v>
      </c>
      <c r="D673" s="125" t="s">
        <v>1389</v>
      </c>
      <c r="E673" s="210" t="s">
        <v>1390</v>
      </c>
      <c r="F673" s="169" t="s">
        <v>1391</v>
      </c>
      <c r="G673" s="13" t="s">
        <v>11</v>
      </c>
      <c r="H673" s="78"/>
      <c r="I673" s="9" t="s">
        <v>1584</v>
      </c>
    </row>
    <row r="674" spans="1:9" ht="40.5">
      <c r="A674" s="238">
        <v>672</v>
      </c>
      <c r="B674" s="213" t="s">
        <v>1392</v>
      </c>
      <c r="C674" s="125" t="s">
        <v>703</v>
      </c>
      <c r="D674" s="231">
        <v>9.1999999999999993</v>
      </c>
      <c r="E674" s="210" t="s">
        <v>1393</v>
      </c>
      <c r="F674" s="168" t="s">
        <v>1394</v>
      </c>
      <c r="G674" s="13" t="s">
        <v>11</v>
      </c>
      <c r="H674" s="78"/>
      <c r="I674" s="9" t="s">
        <v>1584</v>
      </c>
    </row>
    <row r="675" spans="1:9" ht="27">
      <c r="A675" s="238">
        <v>673</v>
      </c>
      <c r="B675" s="213" t="s">
        <v>1392</v>
      </c>
      <c r="C675" s="125" t="s">
        <v>703</v>
      </c>
      <c r="D675" s="231">
        <v>18.12</v>
      </c>
      <c r="E675" s="213" t="s">
        <v>1395</v>
      </c>
      <c r="F675" s="168">
        <v>9259066</v>
      </c>
      <c r="G675" s="13" t="s">
        <v>11</v>
      </c>
      <c r="H675" s="78"/>
      <c r="I675" s="9" t="s">
        <v>1584</v>
      </c>
    </row>
    <row r="676" spans="1:9" ht="27">
      <c r="A676" s="238">
        <v>674</v>
      </c>
      <c r="B676" s="213" t="s">
        <v>1392</v>
      </c>
      <c r="C676" s="125" t="s">
        <v>703</v>
      </c>
      <c r="D676" s="231">
        <v>19.7</v>
      </c>
      <c r="E676" s="213" t="s">
        <v>1396</v>
      </c>
      <c r="F676" s="168">
        <v>1931989</v>
      </c>
      <c r="G676" s="13" t="s">
        <v>11</v>
      </c>
      <c r="H676" s="78"/>
      <c r="I676" s="9" t="s">
        <v>1584</v>
      </c>
    </row>
    <row r="677" spans="1:9" ht="40.5">
      <c r="A677" s="238">
        <v>675</v>
      </c>
      <c r="B677" s="213" t="s">
        <v>1392</v>
      </c>
      <c r="C677" s="125" t="s">
        <v>703</v>
      </c>
      <c r="D677" s="231">
        <v>45.1</v>
      </c>
      <c r="E677" s="213" t="s">
        <v>1397</v>
      </c>
      <c r="F677" s="168" t="s">
        <v>1398</v>
      </c>
      <c r="G677" s="13" t="s">
        <v>11</v>
      </c>
      <c r="H677" s="78"/>
      <c r="I677" s="9" t="s">
        <v>1584</v>
      </c>
    </row>
    <row r="678" spans="1:9" ht="27">
      <c r="A678" s="238">
        <v>676</v>
      </c>
      <c r="B678" s="210" t="s">
        <v>1357</v>
      </c>
      <c r="C678" s="125" t="s">
        <v>447</v>
      </c>
      <c r="D678" s="125">
        <v>3</v>
      </c>
      <c r="E678" s="210" t="s">
        <v>1399</v>
      </c>
      <c r="F678" s="169">
        <v>9082050</v>
      </c>
      <c r="G678" s="13" t="s">
        <v>11</v>
      </c>
      <c r="H678" s="78"/>
      <c r="I678" s="9" t="s">
        <v>1584</v>
      </c>
    </row>
    <row r="679" spans="1:9" ht="40.5">
      <c r="A679" s="238">
        <v>677</v>
      </c>
      <c r="B679" s="210" t="s">
        <v>1357</v>
      </c>
      <c r="C679" s="125" t="s">
        <v>153</v>
      </c>
      <c r="D679" s="125">
        <v>4</v>
      </c>
      <c r="E679" s="210" t="s">
        <v>1400</v>
      </c>
      <c r="F679" s="169">
        <v>159668</v>
      </c>
      <c r="G679" s="13" t="s">
        <v>11</v>
      </c>
      <c r="H679" s="78"/>
      <c r="I679" s="9" t="s">
        <v>1584</v>
      </c>
    </row>
    <row r="680" spans="1:9" ht="27">
      <c r="A680" s="238">
        <v>678</v>
      </c>
      <c r="B680" s="210" t="s">
        <v>1357</v>
      </c>
      <c r="C680" s="125" t="s">
        <v>69</v>
      </c>
      <c r="D680" s="125">
        <v>4</v>
      </c>
      <c r="E680" s="210" t="s">
        <v>1401</v>
      </c>
      <c r="F680" s="169">
        <v>173424</v>
      </c>
      <c r="G680" s="13" t="s">
        <v>11</v>
      </c>
      <c r="H680" s="78"/>
      <c r="I680" s="9" t="s">
        <v>1584</v>
      </c>
    </row>
    <row r="681" spans="1:9" ht="27">
      <c r="A681" s="238">
        <v>679</v>
      </c>
      <c r="B681" s="210" t="s">
        <v>1357</v>
      </c>
      <c r="C681" s="125" t="s">
        <v>80</v>
      </c>
      <c r="D681" s="125">
        <v>3</v>
      </c>
      <c r="E681" s="210" t="s">
        <v>1402</v>
      </c>
      <c r="F681" s="169">
        <v>1081676</v>
      </c>
      <c r="G681" s="13" t="s">
        <v>11</v>
      </c>
      <c r="H681" s="78"/>
      <c r="I681" s="9" t="s">
        <v>1584</v>
      </c>
    </row>
    <row r="682" spans="1:9" ht="54">
      <c r="A682" s="238">
        <v>680</v>
      </c>
      <c r="B682" s="210" t="s">
        <v>1357</v>
      </c>
      <c r="C682" s="125" t="s">
        <v>180</v>
      </c>
      <c r="D682" s="125">
        <v>24.9</v>
      </c>
      <c r="E682" s="211" t="s">
        <v>184</v>
      </c>
      <c r="F682" s="169">
        <v>461865</v>
      </c>
      <c r="G682" s="13" t="s">
        <v>11</v>
      </c>
      <c r="H682" s="78"/>
      <c r="I682" s="9" t="s">
        <v>1584</v>
      </c>
    </row>
    <row r="683" spans="1:9" ht="27">
      <c r="A683" s="238">
        <v>681</v>
      </c>
      <c r="B683" s="210" t="s">
        <v>1357</v>
      </c>
      <c r="C683" s="125" t="s">
        <v>180</v>
      </c>
      <c r="D683" s="125">
        <v>53.2</v>
      </c>
      <c r="E683" s="210" t="s">
        <v>1403</v>
      </c>
      <c r="F683" s="169">
        <v>342661</v>
      </c>
      <c r="G683" s="13" t="s">
        <v>11</v>
      </c>
      <c r="H683" s="78"/>
      <c r="I683" s="9" t="s">
        <v>1584</v>
      </c>
    </row>
    <row r="684" spans="1:9" ht="40.5">
      <c r="A684" s="238">
        <v>682</v>
      </c>
      <c r="B684" s="210" t="s">
        <v>1357</v>
      </c>
      <c r="C684" s="125" t="s">
        <v>180</v>
      </c>
      <c r="D684" s="125" t="s">
        <v>1404</v>
      </c>
      <c r="E684" s="210" t="s">
        <v>207</v>
      </c>
      <c r="F684" s="169">
        <v>9617736</v>
      </c>
      <c r="G684" s="13" t="s">
        <v>11</v>
      </c>
      <c r="H684" s="78"/>
      <c r="I684" s="9" t="s">
        <v>1584</v>
      </c>
    </row>
    <row r="685" spans="1:9" ht="54">
      <c r="A685" s="238">
        <v>683</v>
      </c>
      <c r="B685" s="210" t="s">
        <v>1357</v>
      </c>
      <c r="C685" s="125" t="s">
        <v>180</v>
      </c>
      <c r="D685" s="125">
        <v>101</v>
      </c>
      <c r="E685" s="210" t="s">
        <v>1405</v>
      </c>
      <c r="F685" s="169">
        <v>0</v>
      </c>
      <c r="G685" s="13" t="s">
        <v>11</v>
      </c>
      <c r="H685" s="78"/>
      <c r="I685" s="9" t="s">
        <v>1584</v>
      </c>
    </row>
    <row r="686" spans="1:9" ht="40.5">
      <c r="A686" s="238">
        <v>684</v>
      </c>
      <c r="B686" s="213" t="s">
        <v>1406</v>
      </c>
      <c r="C686" s="231" t="s">
        <v>703</v>
      </c>
      <c r="D686" s="231">
        <v>9.1</v>
      </c>
      <c r="E686" s="210" t="s">
        <v>1393</v>
      </c>
      <c r="F686" s="168" t="s">
        <v>1407</v>
      </c>
      <c r="G686" s="13" t="s">
        <v>11</v>
      </c>
      <c r="H686" s="78"/>
      <c r="I686" s="9" t="s">
        <v>1584</v>
      </c>
    </row>
    <row r="687" spans="1:9" ht="27">
      <c r="A687" s="238">
        <v>685</v>
      </c>
      <c r="B687" s="213" t="s">
        <v>1406</v>
      </c>
      <c r="C687" s="231" t="s">
        <v>703</v>
      </c>
      <c r="D687" s="231">
        <v>18.11</v>
      </c>
      <c r="E687" s="213" t="s">
        <v>1395</v>
      </c>
      <c r="F687" s="168">
        <v>2479047</v>
      </c>
      <c r="G687" s="13" t="s">
        <v>11</v>
      </c>
      <c r="H687" s="78"/>
      <c r="I687" s="9" t="s">
        <v>1584</v>
      </c>
    </row>
    <row r="688" spans="1:9" ht="40.5">
      <c r="A688" s="238">
        <v>686</v>
      </c>
      <c r="B688" s="213" t="s">
        <v>1406</v>
      </c>
      <c r="C688" s="231" t="s">
        <v>703</v>
      </c>
      <c r="D688" s="231">
        <v>63.1</v>
      </c>
      <c r="E688" s="213" t="s">
        <v>1408</v>
      </c>
      <c r="F688" s="168" t="s">
        <v>1409</v>
      </c>
      <c r="G688" s="13" t="s">
        <v>11</v>
      </c>
      <c r="H688" s="78"/>
      <c r="I688" s="9" t="s">
        <v>1584</v>
      </c>
    </row>
    <row r="689" spans="1:9" ht="27">
      <c r="A689" s="238">
        <v>687</v>
      </c>
      <c r="B689" s="210" t="s">
        <v>1359</v>
      </c>
      <c r="C689" s="125" t="s">
        <v>1410</v>
      </c>
      <c r="D689" s="125">
        <v>2</v>
      </c>
      <c r="E689" s="210" t="s">
        <v>1411</v>
      </c>
      <c r="F689" s="169">
        <v>20730949</v>
      </c>
      <c r="G689" s="13" t="s">
        <v>11</v>
      </c>
      <c r="H689" s="78"/>
      <c r="I689" s="9" t="s">
        <v>1584</v>
      </c>
    </row>
    <row r="690" spans="1:9" ht="27">
      <c r="A690" s="238">
        <v>688</v>
      </c>
      <c r="B690" s="210" t="s">
        <v>1359</v>
      </c>
      <c r="C690" s="125" t="s">
        <v>1132</v>
      </c>
      <c r="D690" s="125">
        <v>7</v>
      </c>
      <c r="E690" s="210" t="s">
        <v>1131</v>
      </c>
      <c r="F690" s="169">
        <v>1284685</v>
      </c>
      <c r="G690" s="13" t="s">
        <v>11</v>
      </c>
      <c r="H690" s="78"/>
      <c r="I690" s="9" t="s">
        <v>1584</v>
      </c>
    </row>
    <row r="691" spans="1:9" ht="27">
      <c r="A691" s="238">
        <v>689</v>
      </c>
      <c r="B691" s="210" t="s">
        <v>1359</v>
      </c>
      <c r="C691" s="125" t="s">
        <v>69</v>
      </c>
      <c r="D691" s="125">
        <v>5</v>
      </c>
      <c r="E691" s="210" t="s">
        <v>1412</v>
      </c>
      <c r="F691" s="169">
        <v>111267</v>
      </c>
      <c r="G691" s="13" t="s">
        <v>11</v>
      </c>
      <c r="H691" s="78"/>
      <c r="I691" s="9" t="s">
        <v>1584</v>
      </c>
    </row>
    <row r="692" spans="1:9" ht="27">
      <c r="A692" s="238">
        <v>690</v>
      </c>
      <c r="B692" s="210" t="s">
        <v>1359</v>
      </c>
      <c r="C692" s="125" t="s">
        <v>269</v>
      </c>
      <c r="D692" s="125">
        <v>3</v>
      </c>
      <c r="E692" s="210" t="s">
        <v>1375</v>
      </c>
      <c r="F692" s="169">
        <v>130652</v>
      </c>
      <c r="G692" s="13" t="s">
        <v>11</v>
      </c>
      <c r="H692" s="78"/>
      <c r="I692" s="9" t="s">
        <v>1584</v>
      </c>
    </row>
    <row r="693" spans="1:9" ht="27">
      <c r="A693" s="238">
        <v>691</v>
      </c>
      <c r="B693" s="210" t="s">
        <v>1359</v>
      </c>
      <c r="C693" s="125" t="s">
        <v>797</v>
      </c>
      <c r="D693" s="125" t="s">
        <v>1413</v>
      </c>
      <c r="E693" s="210" t="s">
        <v>1414</v>
      </c>
      <c r="F693" s="169" t="s">
        <v>1415</v>
      </c>
      <c r="G693" s="13" t="s">
        <v>11</v>
      </c>
      <c r="H693" s="78"/>
      <c r="I693" s="9" t="s">
        <v>1584</v>
      </c>
    </row>
    <row r="694" spans="1:9" ht="27">
      <c r="A694" s="238">
        <v>692</v>
      </c>
      <c r="B694" s="210" t="s">
        <v>1359</v>
      </c>
      <c r="C694" s="125" t="s">
        <v>13</v>
      </c>
      <c r="D694" s="229">
        <v>25.2</v>
      </c>
      <c r="E694" s="210" t="s">
        <v>1416</v>
      </c>
      <c r="F694" s="193">
        <v>3926887</v>
      </c>
      <c r="G694" s="13" t="s">
        <v>11</v>
      </c>
      <c r="H694" s="78"/>
      <c r="I694" s="9" t="s">
        <v>1584</v>
      </c>
    </row>
    <row r="695" spans="1:9" ht="54">
      <c r="A695" s="238">
        <v>693</v>
      </c>
      <c r="B695" s="210" t="s">
        <v>1359</v>
      </c>
      <c r="C695" s="125" t="s">
        <v>180</v>
      </c>
      <c r="D695" s="229" t="s">
        <v>1417</v>
      </c>
      <c r="E695" s="211" t="s">
        <v>184</v>
      </c>
      <c r="F695" s="193">
        <v>507802</v>
      </c>
      <c r="G695" s="13" t="s">
        <v>11</v>
      </c>
      <c r="H695" s="78"/>
      <c r="I695" s="9" t="s">
        <v>1584</v>
      </c>
    </row>
    <row r="696" spans="1:9" ht="27">
      <c r="A696" s="238">
        <v>694</v>
      </c>
      <c r="B696" s="210" t="s">
        <v>1359</v>
      </c>
      <c r="C696" s="125" t="s">
        <v>180</v>
      </c>
      <c r="D696" s="229" t="s">
        <v>1418</v>
      </c>
      <c r="E696" s="210" t="s">
        <v>1403</v>
      </c>
      <c r="F696" s="193">
        <v>1265452</v>
      </c>
      <c r="G696" s="13" t="s">
        <v>11</v>
      </c>
      <c r="H696" s="78"/>
      <c r="I696" s="9" t="s">
        <v>1584</v>
      </c>
    </row>
    <row r="697" spans="1:9" ht="40.5">
      <c r="A697" s="238">
        <v>695</v>
      </c>
      <c r="B697" s="210" t="s">
        <v>1359</v>
      </c>
      <c r="C697" s="125" t="s">
        <v>180</v>
      </c>
      <c r="D697" s="229" t="s">
        <v>1419</v>
      </c>
      <c r="E697" s="210" t="s">
        <v>207</v>
      </c>
      <c r="F697" s="193">
        <v>2140593</v>
      </c>
      <c r="G697" s="13" t="s">
        <v>11</v>
      </c>
      <c r="H697" s="78"/>
      <c r="I697" s="9" t="s">
        <v>1584</v>
      </c>
    </row>
    <row r="698" spans="1:9" ht="40.5">
      <c r="A698" s="238">
        <v>696</v>
      </c>
      <c r="B698" s="210" t="s">
        <v>1360</v>
      </c>
      <c r="C698" s="125" t="s">
        <v>13</v>
      </c>
      <c r="D698" s="125" t="s">
        <v>1420</v>
      </c>
      <c r="E698" s="210" t="s">
        <v>1421</v>
      </c>
      <c r="F698" s="169">
        <v>1381585</v>
      </c>
      <c r="G698" s="13" t="s">
        <v>11</v>
      </c>
      <c r="H698" s="78"/>
      <c r="I698" s="9" t="s">
        <v>1584</v>
      </c>
    </row>
    <row r="699" spans="1:9" ht="40.5">
      <c r="A699" s="238">
        <v>697</v>
      </c>
      <c r="B699" s="210" t="s">
        <v>1360</v>
      </c>
      <c r="C699" s="125" t="s">
        <v>13</v>
      </c>
      <c r="D699" s="125" t="s">
        <v>1422</v>
      </c>
      <c r="E699" s="210" t="s">
        <v>1423</v>
      </c>
      <c r="F699" s="169">
        <v>187674</v>
      </c>
      <c r="G699" s="13" t="s">
        <v>11</v>
      </c>
      <c r="H699" s="78"/>
      <c r="I699" s="9" t="s">
        <v>1584</v>
      </c>
    </row>
    <row r="700" spans="1:9" ht="27">
      <c r="A700" s="238">
        <v>698</v>
      </c>
      <c r="B700" s="213" t="s">
        <v>1360</v>
      </c>
      <c r="C700" s="231" t="s">
        <v>703</v>
      </c>
      <c r="D700" s="231">
        <v>18.8</v>
      </c>
      <c r="E700" s="213" t="s">
        <v>1395</v>
      </c>
      <c r="F700" s="168" t="s">
        <v>1424</v>
      </c>
      <c r="G700" s="13" t="s">
        <v>11</v>
      </c>
      <c r="H700" s="78"/>
      <c r="I700" s="9" t="s">
        <v>1584</v>
      </c>
    </row>
    <row r="701" spans="1:9" ht="27">
      <c r="A701" s="238">
        <v>699</v>
      </c>
      <c r="B701" s="213" t="s">
        <v>1360</v>
      </c>
      <c r="C701" s="231" t="s">
        <v>703</v>
      </c>
      <c r="D701" s="231">
        <v>40.200000000000003</v>
      </c>
      <c r="E701" s="213" t="s">
        <v>1425</v>
      </c>
      <c r="F701" s="168" t="s">
        <v>1426</v>
      </c>
      <c r="G701" s="13" t="s">
        <v>11</v>
      </c>
      <c r="H701" s="78"/>
      <c r="I701" s="9" t="s">
        <v>1584</v>
      </c>
    </row>
    <row r="702" spans="1:9" ht="40.5">
      <c r="A702" s="238">
        <v>700</v>
      </c>
      <c r="B702" s="210" t="s">
        <v>1360</v>
      </c>
      <c r="C702" s="125" t="s">
        <v>703</v>
      </c>
      <c r="D702" s="125">
        <v>84.1</v>
      </c>
      <c r="E702" s="210" t="s">
        <v>1427</v>
      </c>
      <c r="F702" s="167">
        <v>721768</v>
      </c>
      <c r="G702" s="13" t="s">
        <v>11</v>
      </c>
      <c r="H702" s="78"/>
      <c r="I702" s="9" t="s">
        <v>1584</v>
      </c>
    </row>
    <row r="703" spans="1:9" ht="40.5">
      <c r="A703" s="238">
        <v>701</v>
      </c>
      <c r="B703" s="210" t="s">
        <v>1428</v>
      </c>
      <c r="C703" s="125" t="s">
        <v>797</v>
      </c>
      <c r="D703" s="125" t="s">
        <v>1429</v>
      </c>
      <c r="E703" s="210" t="s">
        <v>1430</v>
      </c>
      <c r="F703" s="169" t="s">
        <v>1431</v>
      </c>
      <c r="G703" s="13" t="s">
        <v>11</v>
      </c>
      <c r="H703" s="78"/>
      <c r="I703" s="9" t="s">
        <v>1584</v>
      </c>
    </row>
    <row r="704" spans="1:9" ht="40.5">
      <c r="A704" s="238">
        <v>702</v>
      </c>
      <c r="B704" s="210" t="s">
        <v>1428</v>
      </c>
      <c r="C704" s="231" t="s">
        <v>703</v>
      </c>
      <c r="D704" s="231">
        <v>16.3</v>
      </c>
      <c r="E704" s="212" t="s">
        <v>1432</v>
      </c>
      <c r="F704" s="168" t="s">
        <v>1433</v>
      </c>
      <c r="G704" s="13" t="s">
        <v>11</v>
      </c>
      <c r="H704" s="78"/>
      <c r="I704" s="9" t="s">
        <v>1584</v>
      </c>
    </row>
    <row r="705" spans="1:9" ht="27">
      <c r="A705" s="238">
        <v>703</v>
      </c>
      <c r="B705" s="210" t="s">
        <v>1428</v>
      </c>
      <c r="C705" s="231" t="s">
        <v>703</v>
      </c>
      <c r="D705" s="231">
        <v>18.149999999999999</v>
      </c>
      <c r="E705" s="213" t="s">
        <v>1395</v>
      </c>
      <c r="F705" s="168">
        <v>7588037</v>
      </c>
      <c r="G705" s="13" t="s">
        <v>11</v>
      </c>
      <c r="H705" s="78"/>
      <c r="I705" s="9" t="s">
        <v>1584</v>
      </c>
    </row>
    <row r="706" spans="1:9" ht="27">
      <c r="A706" s="238">
        <v>704</v>
      </c>
      <c r="B706" s="210" t="s">
        <v>1428</v>
      </c>
      <c r="C706" s="231" t="s">
        <v>703</v>
      </c>
      <c r="D706" s="231">
        <v>46.1</v>
      </c>
      <c r="E706" s="213" t="s">
        <v>1434</v>
      </c>
      <c r="F706" s="168" t="s">
        <v>1435</v>
      </c>
      <c r="G706" s="13" t="s">
        <v>11</v>
      </c>
      <c r="H706" s="78"/>
      <c r="I706" s="9" t="s">
        <v>1584</v>
      </c>
    </row>
    <row r="707" spans="1:9" ht="27">
      <c r="A707" s="238">
        <v>705</v>
      </c>
      <c r="B707" s="210" t="s">
        <v>1428</v>
      </c>
      <c r="C707" s="231" t="s">
        <v>703</v>
      </c>
      <c r="D707" s="231">
        <v>62</v>
      </c>
      <c r="E707" s="213" t="s">
        <v>1436</v>
      </c>
      <c r="F707" s="168" t="s">
        <v>1437</v>
      </c>
      <c r="G707" s="13" t="s">
        <v>11</v>
      </c>
      <c r="H707" s="78"/>
      <c r="I707" s="9" t="s">
        <v>1584</v>
      </c>
    </row>
    <row r="708" spans="1:9" ht="40.5">
      <c r="A708" s="238">
        <v>706</v>
      </c>
      <c r="B708" s="210" t="s">
        <v>1428</v>
      </c>
      <c r="C708" s="231" t="s">
        <v>703</v>
      </c>
      <c r="D708" s="231">
        <v>82</v>
      </c>
      <c r="E708" s="213" t="s">
        <v>1438</v>
      </c>
      <c r="F708" s="194">
        <v>4305080</v>
      </c>
      <c r="G708" s="13" t="s">
        <v>11</v>
      </c>
      <c r="H708" s="78"/>
      <c r="I708" s="9" t="s">
        <v>1584</v>
      </c>
    </row>
    <row r="709" spans="1:9" ht="27">
      <c r="A709" s="238">
        <v>707</v>
      </c>
      <c r="B709" s="210" t="s">
        <v>1362</v>
      </c>
      <c r="C709" s="125" t="s">
        <v>137</v>
      </c>
      <c r="D709" s="125">
        <v>4</v>
      </c>
      <c r="E709" s="210" t="s">
        <v>1439</v>
      </c>
      <c r="F709" s="169">
        <v>8854945</v>
      </c>
      <c r="G709" s="13" t="s">
        <v>11</v>
      </c>
      <c r="H709" s="78"/>
      <c r="I709" s="9" t="s">
        <v>1584</v>
      </c>
    </row>
    <row r="710" spans="1:9" ht="27">
      <c r="A710" s="238">
        <v>708</v>
      </c>
      <c r="B710" s="210" t="s">
        <v>1362</v>
      </c>
      <c r="C710" s="125" t="s">
        <v>1257</v>
      </c>
      <c r="D710" s="125">
        <v>2</v>
      </c>
      <c r="E710" s="210" t="s">
        <v>1440</v>
      </c>
      <c r="F710" s="169">
        <v>256847</v>
      </c>
      <c r="G710" s="13" t="s">
        <v>11</v>
      </c>
      <c r="H710" s="78"/>
      <c r="I710" s="9" t="s">
        <v>1584</v>
      </c>
    </row>
    <row r="711" spans="1:9" ht="40.5">
      <c r="A711" s="238">
        <v>709</v>
      </c>
      <c r="B711" s="210" t="s">
        <v>1362</v>
      </c>
      <c r="C711" s="125" t="s">
        <v>1441</v>
      </c>
      <c r="D711" s="228">
        <v>2</v>
      </c>
      <c r="E711" s="210" t="s">
        <v>1442</v>
      </c>
      <c r="F711" s="169">
        <v>106696</v>
      </c>
      <c r="G711" s="13" t="s">
        <v>11</v>
      </c>
      <c r="H711" s="78"/>
      <c r="I711" s="9" t="s">
        <v>1584</v>
      </c>
    </row>
    <row r="712" spans="1:9" ht="40.5">
      <c r="A712" s="238">
        <v>710</v>
      </c>
      <c r="B712" s="210" t="s">
        <v>1362</v>
      </c>
      <c r="C712" s="125" t="s">
        <v>1441</v>
      </c>
      <c r="D712" s="228">
        <v>3</v>
      </c>
      <c r="E712" s="210" t="s">
        <v>1443</v>
      </c>
      <c r="F712" s="169">
        <v>1419672</v>
      </c>
      <c r="G712" s="13" t="s">
        <v>11</v>
      </c>
      <c r="H712" s="78"/>
      <c r="I712" s="9" t="s">
        <v>1584</v>
      </c>
    </row>
    <row r="713" spans="1:9" ht="40.5">
      <c r="A713" s="238">
        <v>711</v>
      </c>
      <c r="B713" s="210" t="s">
        <v>1362</v>
      </c>
      <c r="C713" s="125" t="s">
        <v>37</v>
      </c>
      <c r="D713" s="228" t="s">
        <v>1444</v>
      </c>
      <c r="E713" s="210" t="s">
        <v>1445</v>
      </c>
      <c r="F713" s="169">
        <v>4649931</v>
      </c>
      <c r="G713" s="13" t="s">
        <v>11</v>
      </c>
      <c r="H713" s="78"/>
      <c r="I713" s="9" t="s">
        <v>1584</v>
      </c>
    </row>
    <row r="714" spans="1:9" ht="54">
      <c r="A714" s="238">
        <v>712</v>
      </c>
      <c r="B714" s="210" t="s">
        <v>1362</v>
      </c>
      <c r="C714" s="125" t="s">
        <v>13</v>
      </c>
      <c r="D714" s="229" t="s">
        <v>1446</v>
      </c>
      <c r="E714" s="210" t="s">
        <v>1447</v>
      </c>
      <c r="F714" s="193">
        <v>356000</v>
      </c>
      <c r="G714" s="13" t="s">
        <v>11</v>
      </c>
      <c r="H714" s="78"/>
      <c r="I714" s="9" t="s">
        <v>1584</v>
      </c>
    </row>
    <row r="715" spans="1:9" ht="40.5">
      <c r="A715" s="238">
        <v>713</v>
      </c>
      <c r="B715" s="210" t="s">
        <v>1362</v>
      </c>
      <c r="C715" s="125" t="s">
        <v>13</v>
      </c>
      <c r="D715" s="229">
        <v>44.1</v>
      </c>
      <c r="E715" s="210" t="s">
        <v>1448</v>
      </c>
      <c r="F715" s="193">
        <v>399970</v>
      </c>
      <c r="G715" s="13" t="s">
        <v>11</v>
      </c>
      <c r="H715" s="78"/>
      <c r="I715" s="9" t="s">
        <v>1584</v>
      </c>
    </row>
    <row r="716" spans="1:9" ht="67.5">
      <c r="A716" s="238">
        <v>714</v>
      </c>
      <c r="B716" s="210" t="s">
        <v>1362</v>
      </c>
      <c r="C716" s="125" t="s">
        <v>13</v>
      </c>
      <c r="D716" s="229" t="s">
        <v>1449</v>
      </c>
      <c r="E716" s="210" t="s">
        <v>1450</v>
      </c>
      <c r="F716" s="193">
        <v>1349305</v>
      </c>
      <c r="G716" s="13" t="s">
        <v>11</v>
      </c>
      <c r="H716" s="78"/>
      <c r="I716" s="9" t="s">
        <v>1584</v>
      </c>
    </row>
    <row r="717" spans="1:9" ht="40.5">
      <c r="A717" s="238">
        <v>715</v>
      </c>
      <c r="B717" s="213" t="s">
        <v>1451</v>
      </c>
      <c r="C717" s="231" t="s">
        <v>703</v>
      </c>
      <c r="D717" s="231">
        <v>17.2</v>
      </c>
      <c r="E717" s="213" t="s">
        <v>1452</v>
      </c>
      <c r="F717" s="168" t="s">
        <v>1453</v>
      </c>
      <c r="G717" s="13" t="s">
        <v>11</v>
      </c>
      <c r="H717" s="78"/>
      <c r="I717" s="9" t="s">
        <v>1584</v>
      </c>
    </row>
    <row r="718" spans="1:9" ht="27">
      <c r="A718" s="238">
        <v>716</v>
      </c>
      <c r="B718" s="213" t="s">
        <v>1451</v>
      </c>
      <c r="C718" s="231" t="s">
        <v>703</v>
      </c>
      <c r="D718" s="231">
        <v>18.899999999999999</v>
      </c>
      <c r="E718" s="213" t="s">
        <v>1395</v>
      </c>
      <c r="F718" s="168" t="s">
        <v>1454</v>
      </c>
      <c r="G718" s="13" t="s">
        <v>11</v>
      </c>
      <c r="H718" s="78"/>
      <c r="I718" s="9" t="s">
        <v>1584</v>
      </c>
    </row>
    <row r="719" spans="1:9" ht="27">
      <c r="A719" s="238">
        <v>717</v>
      </c>
      <c r="B719" s="213" t="s">
        <v>1451</v>
      </c>
      <c r="C719" s="231" t="s">
        <v>703</v>
      </c>
      <c r="D719" s="231">
        <v>40.1</v>
      </c>
      <c r="E719" s="213" t="s">
        <v>1425</v>
      </c>
      <c r="F719" s="168" t="s">
        <v>1455</v>
      </c>
      <c r="G719" s="13" t="s">
        <v>11</v>
      </c>
      <c r="H719" s="78"/>
      <c r="I719" s="9" t="s">
        <v>1584</v>
      </c>
    </row>
    <row r="720" spans="1:9" ht="27">
      <c r="A720" s="238">
        <v>718</v>
      </c>
      <c r="B720" s="213" t="s">
        <v>1451</v>
      </c>
      <c r="C720" s="231" t="s">
        <v>703</v>
      </c>
      <c r="D720" s="231">
        <v>50.1</v>
      </c>
      <c r="E720" s="213" t="s">
        <v>1456</v>
      </c>
      <c r="F720" s="168">
        <v>1448014</v>
      </c>
      <c r="G720" s="13" t="s">
        <v>11</v>
      </c>
      <c r="H720" s="78"/>
      <c r="I720" s="9" t="s">
        <v>1584</v>
      </c>
    </row>
    <row r="721" spans="1:9" ht="40.5">
      <c r="A721" s="238">
        <v>719</v>
      </c>
      <c r="B721" s="213" t="s">
        <v>1451</v>
      </c>
      <c r="C721" s="231" t="s">
        <v>703</v>
      </c>
      <c r="D721" s="231">
        <v>14.3</v>
      </c>
      <c r="E721" s="213" t="s">
        <v>1457</v>
      </c>
      <c r="F721" s="194">
        <v>2638373</v>
      </c>
      <c r="G721" s="13" t="s">
        <v>11</v>
      </c>
      <c r="H721" s="78"/>
      <c r="I721" s="9" t="s">
        <v>1584</v>
      </c>
    </row>
    <row r="722" spans="1:9" ht="40.5">
      <c r="A722" s="238">
        <v>720</v>
      </c>
      <c r="B722" s="213" t="s">
        <v>1451</v>
      </c>
      <c r="C722" s="231" t="s">
        <v>180</v>
      </c>
      <c r="D722" s="231">
        <v>80.8</v>
      </c>
      <c r="E722" s="210" t="s">
        <v>207</v>
      </c>
      <c r="F722" s="194">
        <v>10671112</v>
      </c>
      <c r="G722" s="13" t="s">
        <v>11</v>
      </c>
      <c r="H722" s="78"/>
      <c r="I722" s="9" t="s">
        <v>1584</v>
      </c>
    </row>
    <row r="723" spans="1:9" ht="40.5">
      <c r="A723" s="238">
        <v>721</v>
      </c>
      <c r="B723" s="213" t="s">
        <v>1451</v>
      </c>
      <c r="C723" s="231" t="s">
        <v>180</v>
      </c>
      <c r="D723" s="231">
        <v>92.2</v>
      </c>
      <c r="E723" s="213" t="s">
        <v>1458</v>
      </c>
      <c r="F723" s="194">
        <v>299120</v>
      </c>
      <c r="G723" s="13" t="s">
        <v>11</v>
      </c>
      <c r="H723" s="78"/>
      <c r="I723" s="9" t="s">
        <v>1584</v>
      </c>
    </row>
    <row r="724" spans="1:9" ht="27">
      <c r="A724" s="238">
        <v>722</v>
      </c>
      <c r="B724" s="210" t="s">
        <v>1459</v>
      </c>
      <c r="C724" s="125" t="s">
        <v>432</v>
      </c>
      <c r="D724" s="125">
        <v>2</v>
      </c>
      <c r="E724" s="210" t="s">
        <v>1460</v>
      </c>
      <c r="F724" s="169">
        <v>1034303</v>
      </c>
      <c r="G724" s="13" t="s">
        <v>11</v>
      </c>
      <c r="H724" s="78"/>
      <c r="I724" s="9" t="s">
        <v>1584</v>
      </c>
    </row>
    <row r="725" spans="1:9" ht="27">
      <c r="A725" s="238">
        <v>723</v>
      </c>
      <c r="B725" s="210" t="s">
        <v>1363</v>
      </c>
      <c r="C725" s="125" t="s">
        <v>1461</v>
      </c>
      <c r="D725" s="125">
        <v>1</v>
      </c>
      <c r="E725" s="210" t="s">
        <v>1462</v>
      </c>
      <c r="F725" s="169">
        <v>199907</v>
      </c>
      <c r="G725" s="13" t="s">
        <v>11</v>
      </c>
      <c r="H725" s="78"/>
      <c r="I725" s="9" t="s">
        <v>1584</v>
      </c>
    </row>
    <row r="726" spans="1:9" ht="54">
      <c r="A726" s="238">
        <v>724</v>
      </c>
      <c r="B726" s="210" t="s">
        <v>1363</v>
      </c>
      <c r="C726" s="125" t="s">
        <v>9</v>
      </c>
      <c r="D726" s="125" t="s">
        <v>1463</v>
      </c>
      <c r="E726" s="210" t="s">
        <v>1464</v>
      </c>
      <c r="F726" s="169">
        <v>1340468</v>
      </c>
      <c r="G726" s="13" t="s">
        <v>11</v>
      </c>
      <c r="H726" s="78"/>
      <c r="I726" s="9" t="s">
        <v>1584</v>
      </c>
    </row>
    <row r="727" spans="1:9" ht="40.5">
      <c r="A727" s="238">
        <v>725</v>
      </c>
      <c r="B727" s="210" t="s">
        <v>1465</v>
      </c>
      <c r="C727" s="125" t="s">
        <v>280</v>
      </c>
      <c r="D727" s="125">
        <v>7</v>
      </c>
      <c r="E727" s="210" t="s">
        <v>1466</v>
      </c>
      <c r="F727" s="169">
        <v>1004063</v>
      </c>
      <c r="G727" s="13" t="s">
        <v>11</v>
      </c>
      <c r="H727" s="78"/>
      <c r="I727" s="9" t="s">
        <v>1584</v>
      </c>
    </row>
    <row r="728" spans="1:9" ht="40.5">
      <c r="A728" s="238">
        <v>726</v>
      </c>
      <c r="B728" s="210" t="s">
        <v>1465</v>
      </c>
      <c r="C728" s="125" t="s">
        <v>37</v>
      </c>
      <c r="D728" s="125">
        <v>6</v>
      </c>
      <c r="E728" s="210" t="s">
        <v>1467</v>
      </c>
      <c r="F728" s="169" t="s">
        <v>1468</v>
      </c>
      <c r="G728" s="13" t="s">
        <v>11</v>
      </c>
      <c r="H728" s="78"/>
      <c r="I728" s="9" t="s">
        <v>1584</v>
      </c>
    </row>
    <row r="729" spans="1:9" ht="40.5">
      <c r="A729" s="238">
        <v>727</v>
      </c>
      <c r="B729" s="210" t="s">
        <v>1465</v>
      </c>
      <c r="C729" s="125" t="s">
        <v>9</v>
      </c>
      <c r="D729" s="228" t="s">
        <v>1469</v>
      </c>
      <c r="E729" s="210" t="s">
        <v>1377</v>
      </c>
      <c r="F729" s="169">
        <v>246913</v>
      </c>
      <c r="G729" s="13" t="s">
        <v>11</v>
      </c>
      <c r="H729" s="78"/>
      <c r="I729" s="9" t="s">
        <v>1584</v>
      </c>
    </row>
    <row r="730" spans="1:9" ht="40.5">
      <c r="A730" s="238">
        <v>728</v>
      </c>
      <c r="B730" s="213" t="s">
        <v>1470</v>
      </c>
      <c r="C730" s="231" t="s">
        <v>703</v>
      </c>
      <c r="D730" s="231">
        <v>16.100000000000001</v>
      </c>
      <c r="E730" s="212" t="s">
        <v>1432</v>
      </c>
      <c r="F730" s="168">
        <v>647899</v>
      </c>
      <c r="G730" s="13" t="s">
        <v>11</v>
      </c>
      <c r="H730" s="78"/>
      <c r="I730" s="9" t="s">
        <v>1584</v>
      </c>
    </row>
    <row r="731" spans="1:9" ht="27">
      <c r="A731" s="238">
        <v>729</v>
      </c>
      <c r="B731" s="213" t="s">
        <v>1470</v>
      </c>
      <c r="C731" s="231" t="s">
        <v>703</v>
      </c>
      <c r="D731" s="231">
        <v>18.100000000000001</v>
      </c>
      <c r="E731" s="213" t="s">
        <v>1395</v>
      </c>
      <c r="F731" s="168" t="s">
        <v>1471</v>
      </c>
      <c r="G731" s="13" t="s">
        <v>11</v>
      </c>
      <c r="H731" s="78"/>
      <c r="I731" s="9" t="s">
        <v>1584</v>
      </c>
    </row>
    <row r="732" spans="1:9" ht="54">
      <c r="A732" s="238">
        <v>730</v>
      </c>
      <c r="B732" s="213" t="s">
        <v>1470</v>
      </c>
      <c r="C732" s="231" t="s">
        <v>703</v>
      </c>
      <c r="D732" s="231">
        <v>83.1</v>
      </c>
      <c r="E732" s="213" t="s">
        <v>1472</v>
      </c>
      <c r="F732" s="168" t="s">
        <v>1473</v>
      </c>
      <c r="G732" s="13" t="s">
        <v>11</v>
      </c>
      <c r="H732" s="78"/>
      <c r="I732" s="9" t="s">
        <v>1584</v>
      </c>
    </row>
    <row r="733" spans="1:9" ht="40.5">
      <c r="A733" s="238">
        <v>731</v>
      </c>
      <c r="B733" s="210" t="s">
        <v>1365</v>
      </c>
      <c r="C733" s="125" t="s">
        <v>178</v>
      </c>
      <c r="D733" s="228">
        <v>2</v>
      </c>
      <c r="E733" s="210" t="s">
        <v>1474</v>
      </c>
      <c r="F733" s="169">
        <v>3354625</v>
      </c>
      <c r="G733" s="13" t="s">
        <v>11</v>
      </c>
      <c r="H733" s="78"/>
      <c r="I733" s="9" t="s">
        <v>1584</v>
      </c>
    </row>
    <row r="734" spans="1:9" ht="27">
      <c r="A734" s="238">
        <v>732</v>
      </c>
      <c r="B734" s="210" t="s">
        <v>1366</v>
      </c>
      <c r="C734" s="125" t="s">
        <v>135</v>
      </c>
      <c r="D734" s="125">
        <v>2</v>
      </c>
      <c r="E734" s="210" t="s">
        <v>1475</v>
      </c>
      <c r="F734" s="169">
        <v>54448811</v>
      </c>
      <c r="G734" s="13" t="s">
        <v>11</v>
      </c>
      <c r="H734" s="78"/>
      <c r="I734" s="9" t="s">
        <v>1584</v>
      </c>
    </row>
    <row r="735" spans="1:9" ht="54">
      <c r="A735" s="238">
        <v>733</v>
      </c>
      <c r="B735" s="210" t="s">
        <v>1367</v>
      </c>
      <c r="C735" s="125" t="s">
        <v>1476</v>
      </c>
      <c r="D735" s="125">
        <v>4</v>
      </c>
      <c r="E735" s="210" t="s">
        <v>1477</v>
      </c>
      <c r="F735" s="169">
        <v>310201130</v>
      </c>
      <c r="G735" s="13" t="s">
        <v>11</v>
      </c>
      <c r="H735" s="78"/>
      <c r="I735" s="9" t="s">
        <v>1584</v>
      </c>
    </row>
    <row r="736" spans="1:9" ht="54">
      <c r="A736" s="238">
        <v>734</v>
      </c>
      <c r="B736" s="210" t="s">
        <v>1367</v>
      </c>
      <c r="C736" s="125" t="s">
        <v>1476</v>
      </c>
      <c r="D736" s="125">
        <v>6</v>
      </c>
      <c r="E736" s="210" t="s">
        <v>1478</v>
      </c>
      <c r="F736" s="169">
        <v>9656547</v>
      </c>
      <c r="G736" s="13" t="s">
        <v>11</v>
      </c>
      <c r="H736" s="78"/>
      <c r="I736" s="9" t="s">
        <v>1584</v>
      </c>
    </row>
    <row r="737" spans="1:9" ht="27">
      <c r="A737" s="238">
        <v>735</v>
      </c>
      <c r="B737" s="210" t="s">
        <v>1367</v>
      </c>
      <c r="C737" s="125" t="s">
        <v>1476</v>
      </c>
      <c r="D737" s="125">
        <v>1</v>
      </c>
      <c r="E737" s="210" t="s">
        <v>1479</v>
      </c>
      <c r="F737" s="195">
        <v>3990082371</v>
      </c>
      <c r="G737" s="13" t="s">
        <v>11</v>
      </c>
      <c r="H737" s="78"/>
      <c r="I737" s="9" t="s">
        <v>1584</v>
      </c>
    </row>
    <row r="738" spans="1:9" ht="27">
      <c r="A738" s="238">
        <v>736</v>
      </c>
      <c r="B738" s="210" t="s">
        <v>1367</v>
      </c>
      <c r="C738" s="125" t="s">
        <v>1476</v>
      </c>
      <c r="D738" s="125">
        <v>2</v>
      </c>
      <c r="E738" s="210" t="s">
        <v>1480</v>
      </c>
      <c r="F738" s="169">
        <v>704529605</v>
      </c>
      <c r="G738" s="13" t="s">
        <v>11</v>
      </c>
      <c r="H738" s="78"/>
      <c r="I738" s="9" t="s">
        <v>1584</v>
      </c>
    </row>
    <row r="739" spans="1:9" ht="27">
      <c r="A739" s="238">
        <v>737</v>
      </c>
      <c r="B739" s="210" t="s">
        <v>1367</v>
      </c>
      <c r="C739" s="125" t="s">
        <v>1476</v>
      </c>
      <c r="D739" s="125">
        <v>7</v>
      </c>
      <c r="E739" s="210" t="s">
        <v>1481</v>
      </c>
      <c r="F739" s="169">
        <v>47191094</v>
      </c>
      <c r="G739" s="13" t="s">
        <v>11</v>
      </c>
      <c r="H739" s="78"/>
      <c r="I739" s="9" t="s">
        <v>1584</v>
      </c>
    </row>
    <row r="740" spans="1:9" ht="54">
      <c r="A740" s="238">
        <v>738</v>
      </c>
      <c r="B740" s="210" t="s">
        <v>1482</v>
      </c>
      <c r="C740" s="125" t="s">
        <v>9</v>
      </c>
      <c r="D740" s="232" t="s">
        <v>1483</v>
      </c>
      <c r="E740" s="210" t="s">
        <v>1484</v>
      </c>
      <c r="F740" s="169">
        <v>1933438</v>
      </c>
      <c r="G740" s="13" t="s">
        <v>11</v>
      </c>
      <c r="H740" s="78"/>
      <c r="I740" s="9" t="s">
        <v>1584</v>
      </c>
    </row>
    <row r="741" spans="1:9" ht="54">
      <c r="A741" s="238">
        <v>739</v>
      </c>
      <c r="B741" s="210" t="s">
        <v>1482</v>
      </c>
      <c r="C741" s="125" t="s">
        <v>9</v>
      </c>
      <c r="D741" s="232" t="s">
        <v>1485</v>
      </c>
      <c r="E741" s="210" t="s">
        <v>1486</v>
      </c>
      <c r="F741" s="169">
        <v>18067790</v>
      </c>
      <c r="G741" s="13" t="s">
        <v>11</v>
      </c>
      <c r="H741" s="78"/>
      <c r="I741" s="9" t="s">
        <v>1584</v>
      </c>
    </row>
    <row r="742" spans="1:9" ht="40.5">
      <c r="A742" s="238">
        <v>740</v>
      </c>
      <c r="B742" s="210" t="s">
        <v>1482</v>
      </c>
      <c r="C742" s="125" t="s">
        <v>13</v>
      </c>
      <c r="D742" s="232">
        <v>15.1</v>
      </c>
      <c r="E742" s="210" t="s">
        <v>1487</v>
      </c>
      <c r="F742" s="169">
        <v>20706200</v>
      </c>
      <c r="G742" s="13" t="s">
        <v>11</v>
      </c>
      <c r="H742" s="78"/>
      <c r="I742" s="9" t="s">
        <v>1584</v>
      </c>
    </row>
    <row r="743" spans="1:9" ht="40.5">
      <c r="A743" s="238">
        <v>741</v>
      </c>
      <c r="B743" s="210" t="s">
        <v>1482</v>
      </c>
      <c r="C743" s="125" t="s">
        <v>13</v>
      </c>
      <c r="D743" s="232">
        <v>27.2</v>
      </c>
      <c r="E743" s="210" t="s">
        <v>1488</v>
      </c>
      <c r="F743" s="169">
        <v>117000</v>
      </c>
      <c r="G743" s="13" t="s">
        <v>11</v>
      </c>
      <c r="H743" s="78"/>
      <c r="I743" s="9" t="s">
        <v>1584</v>
      </c>
    </row>
    <row r="744" spans="1:9" ht="40.5">
      <c r="A744" s="238">
        <v>742</v>
      </c>
      <c r="B744" s="210" t="s">
        <v>1482</v>
      </c>
      <c r="C744" s="231" t="s">
        <v>703</v>
      </c>
      <c r="D744" s="231">
        <v>23</v>
      </c>
      <c r="E744" s="213" t="s">
        <v>1489</v>
      </c>
      <c r="F744" s="168">
        <v>9613791</v>
      </c>
      <c r="G744" s="13" t="s">
        <v>11</v>
      </c>
      <c r="H744" s="78"/>
      <c r="I744" s="9" t="s">
        <v>1584</v>
      </c>
    </row>
    <row r="745" spans="1:9" ht="54">
      <c r="A745" s="238">
        <v>743</v>
      </c>
      <c r="B745" s="210" t="s">
        <v>1482</v>
      </c>
      <c r="C745" s="231" t="s">
        <v>703</v>
      </c>
      <c r="D745" s="231">
        <v>24.2</v>
      </c>
      <c r="E745" s="213" t="s">
        <v>1490</v>
      </c>
      <c r="F745" s="168">
        <v>9955048</v>
      </c>
      <c r="G745" s="13" t="s">
        <v>11</v>
      </c>
      <c r="H745" s="78"/>
      <c r="I745" s="9" t="s">
        <v>1584</v>
      </c>
    </row>
    <row r="746" spans="1:9" ht="40.5">
      <c r="A746" s="238">
        <v>744</v>
      </c>
      <c r="B746" s="210" t="s">
        <v>1482</v>
      </c>
      <c r="C746" s="231" t="s">
        <v>703</v>
      </c>
      <c r="D746" s="231">
        <v>42.5</v>
      </c>
      <c r="E746" s="213" t="s">
        <v>1491</v>
      </c>
      <c r="F746" s="168">
        <v>72158267</v>
      </c>
      <c r="G746" s="13" t="s">
        <v>11</v>
      </c>
      <c r="H746" s="78"/>
      <c r="I746" s="9" t="s">
        <v>1584</v>
      </c>
    </row>
    <row r="747" spans="1:9" ht="54">
      <c r="A747" s="238">
        <v>745</v>
      </c>
      <c r="B747" s="210" t="s">
        <v>1482</v>
      </c>
      <c r="C747" s="231" t="s">
        <v>703</v>
      </c>
      <c r="D747" s="231">
        <v>49.1</v>
      </c>
      <c r="E747" s="213" t="s">
        <v>1492</v>
      </c>
      <c r="F747" s="194">
        <v>72158267</v>
      </c>
      <c r="G747" s="13" t="s">
        <v>11</v>
      </c>
      <c r="H747" s="78"/>
      <c r="I747" s="9" t="s">
        <v>1584</v>
      </c>
    </row>
    <row r="748" spans="1:9" ht="40.5">
      <c r="A748" s="238">
        <v>746</v>
      </c>
      <c r="B748" s="210" t="s">
        <v>1482</v>
      </c>
      <c r="C748" s="231" t="s">
        <v>180</v>
      </c>
      <c r="D748" s="231">
        <v>50.1</v>
      </c>
      <c r="E748" s="212" t="s">
        <v>1295</v>
      </c>
      <c r="F748" s="194">
        <v>235627547</v>
      </c>
      <c r="G748" s="13" t="s">
        <v>11</v>
      </c>
      <c r="H748" s="78"/>
      <c r="I748" s="9" t="s">
        <v>1584</v>
      </c>
    </row>
    <row r="749" spans="1:9" ht="27">
      <c r="A749" s="238">
        <v>747</v>
      </c>
      <c r="B749" s="210" t="s">
        <v>1482</v>
      </c>
      <c r="C749" s="231" t="s">
        <v>180</v>
      </c>
      <c r="D749" s="231">
        <v>62</v>
      </c>
      <c r="E749" s="213" t="s">
        <v>1493</v>
      </c>
      <c r="F749" s="196">
        <v>1050153069</v>
      </c>
      <c r="G749" s="13" t="s">
        <v>11</v>
      </c>
      <c r="H749" s="78"/>
      <c r="I749" s="9" t="s">
        <v>1584</v>
      </c>
    </row>
    <row r="750" spans="1:9" ht="54">
      <c r="A750" s="238">
        <v>748</v>
      </c>
      <c r="B750" s="210" t="s">
        <v>1482</v>
      </c>
      <c r="C750" s="231" t="s">
        <v>180</v>
      </c>
      <c r="D750" s="231">
        <v>71</v>
      </c>
      <c r="E750" s="213" t="s">
        <v>1494</v>
      </c>
      <c r="F750" s="196">
        <v>47970045</v>
      </c>
      <c r="G750" s="13" t="s">
        <v>11</v>
      </c>
      <c r="H750" s="78"/>
      <c r="I750" s="9" t="s">
        <v>1584</v>
      </c>
    </row>
    <row r="751" spans="1:9" ht="27">
      <c r="A751" s="238">
        <v>749</v>
      </c>
      <c r="B751" s="210" t="s">
        <v>1482</v>
      </c>
      <c r="C751" s="231" t="s">
        <v>180</v>
      </c>
      <c r="D751" s="231">
        <v>84</v>
      </c>
      <c r="E751" s="213" t="s">
        <v>1495</v>
      </c>
      <c r="F751" s="196">
        <v>21841734</v>
      </c>
      <c r="G751" s="13" t="s">
        <v>11</v>
      </c>
      <c r="H751" s="78"/>
      <c r="I751" s="9" t="s">
        <v>1584</v>
      </c>
    </row>
    <row r="752" spans="1:9" ht="54">
      <c r="A752" s="238">
        <v>750</v>
      </c>
      <c r="B752" s="210" t="s">
        <v>1482</v>
      </c>
      <c r="C752" s="231" t="s">
        <v>180</v>
      </c>
      <c r="D752" s="231">
        <v>89.1</v>
      </c>
      <c r="E752" s="213" t="s">
        <v>1299</v>
      </c>
      <c r="F752" s="196">
        <v>1834928512</v>
      </c>
      <c r="G752" s="13" t="s">
        <v>11</v>
      </c>
      <c r="H752" s="78"/>
      <c r="I752" s="9" t="s">
        <v>1584</v>
      </c>
    </row>
    <row r="753" spans="1:9" ht="27">
      <c r="A753" s="238">
        <v>751</v>
      </c>
      <c r="B753" s="210" t="s">
        <v>1482</v>
      </c>
      <c r="C753" s="231" t="s">
        <v>180</v>
      </c>
      <c r="D753" s="231">
        <v>104</v>
      </c>
      <c r="E753" s="213" t="s">
        <v>1496</v>
      </c>
      <c r="F753" s="194">
        <v>2612396</v>
      </c>
      <c r="G753" s="13" t="s">
        <v>11</v>
      </c>
      <c r="H753" s="78"/>
      <c r="I753" s="9" t="s">
        <v>1584</v>
      </c>
    </row>
    <row r="754" spans="1:9" ht="40.5">
      <c r="A754" s="238">
        <v>752</v>
      </c>
      <c r="B754" s="210" t="s">
        <v>1482</v>
      </c>
      <c r="C754" s="231" t="s">
        <v>180</v>
      </c>
      <c r="D754" s="231">
        <v>115</v>
      </c>
      <c r="E754" s="213" t="s">
        <v>1497</v>
      </c>
      <c r="F754" s="194">
        <v>645921</v>
      </c>
      <c r="G754" s="13" t="s">
        <v>11</v>
      </c>
      <c r="H754" s="78"/>
      <c r="I754" s="9" t="s">
        <v>1584</v>
      </c>
    </row>
    <row r="755" spans="1:9" ht="40.5">
      <c r="A755" s="238">
        <v>753</v>
      </c>
      <c r="B755" s="210" t="s">
        <v>1498</v>
      </c>
      <c r="C755" s="231" t="s">
        <v>703</v>
      </c>
      <c r="D755" s="231">
        <v>30</v>
      </c>
      <c r="E755" s="212" t="s">
        <v>1499</v>
      </c>
      <c r="F755" s="194">
        <v>6072947</v>
      </c>
      <c r="G755" s="13" t="s">
        <v>11</v>
      </c>
      <c r="H755" s="78"/>
      <c r="I755" s="9" t="s">
        <v>1584</v>
      </c>
    </row>
    <row r="756" spans="1:9" ht="54">
      <c r="A756" s="238">
        <v>754</v>
      </c>
      <c r="B756" s="210" t="s">
        <v>1500</v>
      </c>
      <c r="C756" s="231" t="s">
        <v>180</v>
      </c>
      <c r="D756" s="231">
        <v>10.199999999999999</v>
      </c>
      <c r="E756" s="212" t="s">
        <v>1501</v>
      </c>
      <c r="F756" s="194">
        <v>582437287</v>
      </c>
      <c r="G756" s="13" t="s">
        <v>11</v>
      </c>
      <c r="H756" s="78"/>
      <c r="I756" s="9" t="s">
        <v>1584</v>
      </c>
    </row>
    <row r="757" spans="1:9" ht="81">
      <c r="A757" s="238">
        <v>755</v>
      </c>
      <c r="B757" s="210" t="s">
        <v>1500</v>
      </c>
      <c r="C757" s="231" t="s">
        <v>180</v>
      </c>
      <c r="D757" s="231">
        <v>38.200000000000003</v>
      </c>
      <c r="E757" s="212" t="s">
        <v>1502</v>
      </c>
      <c r="F757" s="194">
        <v>131233</v>
      </c>
      <c r="G757" s="13" t="s">
        <v>11</v>
      </c>
      <c r="H757" s="78"/>
      <c r="I757" s="9" t="s">
        <v>1584</v>
      </c>
    </row>
    <row r="758" spans="1:9" ht="67.5">
      <c r="A758" s="238">
        <v>756</v>
      </c>
      <c r="B758" s="210" t="s">
        <v>1500</v>
      </c>
      <c r="C758" s="231" t="s">
        <v>180</v>
      </c>
      <c r="D758" s="231">
        <v>51.2</v>
      </c>
      <c r="E758" s="212" t="s">
        <v>1503</v>
      </c>
      <c r="F758" s="194">
        <v>18276392</v>
      </c>
      <c r="G758" s="13" t="s">
        <v>11</v>
      </c>
      <c r="H758" s="78"/>
      <c r="I758" s="9" t="s">
        <v>1584</v>
      </c>
    </row>
    <row r="759" spans="1:9" ht="40.5">
      <c r="A759" s="238">
        <v>757</v>
      </c>
      <c r="B759" s="210" t="s">
        <v>1500</v>
      </c>
      <c r="C759" s="231" t="s">
        <v>180</v>
      </c>
      <c r="D759" s="231">
        <v>59</v>
      </c>
      <c r="E759" s="212" t="s">
        <v>1504</v>
      </c>
      <c r="F759" s="194">
        <v>42972101</v>
      </c>
      <c r="G759" s="13" t="s">
        <v>11</v>
      </c>
      <c r="H759" s="78"/>
      <c r="I759" s="9" t="s">
        <v>1584</v>
      </c>
    </row>
    <row r="760" spans="1:9" ht="81">
      <c r="A760" s="238">
        <v>758</v>
      </c>
      <c r="B760" s="210" t="s">
        <v>1500</v>
      </c>
      <c r="C760" s="231" t="s">
        <v>180</v>
      </c>
      <c r="D760" s="231">
        <v>74.2</v>
      </c>
      <c r="E760" s="212" t="s">
        <v>1505</v>
      </c>
      <c r="F760" s="194">
        <v>96592524</v>
      </c>
      <c r="G760" s="13" t="s">
        <v>11</v>
      </c>
      <c r="H760" s="78"/>
      <c r="I760" s="9" t="s">
        <v>1584</v>
      </c>
    </row>
    <row r="761" spans="1:9" ht="54">
      <c r="A761" s="238">
        <v>759</v>
      </c>
      <c r="B761" s="210" t="s">
        <v>1500</v>
      </c>
      <c r="C761" s="231" t="s">
        <v>180</v>
      </c>
      <c r="D761" s="231">
        <v>88.2</v>
      </c>
      <c r="E761" s="212" t="s">
        <v>1506</v>
      </c>
      <c r="F761" s="194">
        <v>11044807</v>
      </c>
      <c r="G761" s="13" t="s">
        <v>11</v>
      </c>
      <c r="H761" s="78"/>
      <c r="I761" s="9" t="s">
        <v>1584</v>
      </c>
    </row>
    <row r="762" spans="1:9" ht="67.5">
      <c r="A762" s="238">
        <v>760</v>
      </c>
      <c r="B762" s="210" t="s">
        <v>1500</v>
      </c>
      <c r="C762" s="231" t="s">
        <v>180</v>
      </c>
      <c r="D762" s="231">
        <v>113</v>
      </c>
      <c r="E762" s="212" t="s">
        <v>1507</v>
      </c>
      <c r="F762" s="194">
        <v>235735</v>
      </c>
      <c r="G762" s="13" t="s">
        <v>11</v>
      </c>
      <c r="H762" s="78"/>
      <c r="I762" s="9" t="s">
        <v>1584</v>
      </c>
    </row>
    <row r="763" spans="1:9" ht="40.5">
      <c r="A763" s="238">
        <v>761</v>
      </c>
      <c r="B763" s="210" t="s">
        <v>1508</v>
      </c>
      <c r="C763" s="231" t="s">
        <v>703</v>
      </c>
      <c r="D763" s="231">
        <v>36</v>
      </c>
      <c r="E763" s="212" t="s">
        <v>1509</v>
      </c>
      <c r="F763" s="168">
        <v>43193538</v>
      </c>
      <c r="G763" s="13" t="s">
        <v>11</v>
      </c>
      <c r="H763" s="78"/>
      <c r="I763" s="9" t="s">
        <v>1584</v>
      </c>
    </row>
    <row r="764" spans="1:9" ht="54">
      <c r="A764" s="238">
        <v>762</v>
      </c>
      <c r="B764" s="210" t="s">
        <v>1510</v>
      </c>
      <c r="C764" s="231" t="s">
        <v>180</v>
      </c>
      <c r="D764" s="231">
        <v>10.3</v>
      </c>
      <c r="E764" s="214" t="s">
        <v>1501</v>
      </c>
      <c r="F764" s="196">
        <v>1201327541</v>
      </c>
      <c r="G764" s="13" t="s">
        <v>11</v>
      </c>
      <c r="H764" s="78"/>
      <c r="I764" s="9" t="s">
        <v>1584</v>
      </c>
    </row>
    <row r="765" spans="1:9" ht="81">
      <c r="A765" s="238">
        <v>763</v>
      </c>
      <c r="B765" s="210" t="s">
        <v>1510</v>
      </c>
      <c r="C765" s="231" t="s">
        <v>180</v>
      </c>
      <c r="D765" s="231">
        <v>38.299999999999997</v>
      </c>
      <c r="E765" s="212" t="s">
        <v>1502</v>
      </c>
      <c r="F765" s="194">
        <v>897081</v>
      </c>
      <c r="G765" s="13" t="s">
        <v>11</v>
      </c>
      <c r="H765" s="78"/>
      <c r="I765" s="9" t="s">
        <v>1584</v>
      </c>
    </row>
    <row r="766" spans="1:9" ht="54">
      <c r="A766" s="238">
        <v>764</v>
      </c>
      <c r="B766" s="210" t="s">
        <v>1510</v>
      </c>
      <c r="C766" s="231" t="s">
        <v>180</v>
      </c>
      <c r="D766" s="231">
        <v>49</v>
      </c>
      <c r="E766" s="212" t="s">
        <v>1511</v>
      </c>
      <c r="F766" s="194">
        <v>55934133</v>
      </c>
      <c r="G766" s="13" t="s">
        <v>11</v>
      </c>
      <c r="H766" s="78"/>
      <c r="I766" s="9" t="s">
        <v>1584</v>
      </c>
    </row>
    <row r="767" spans="1:9" ht="67.5">
      <c r="A767" s="238">
        <v>765</v>
      </c>
      <c r="B767" s="210" t="s">
        <v>1510</v>
      </c>
      <c r="C767" s="231" t="s">
        <v>180</v>
      </c>
      <c r="D767" s="231">
        <v>51.1</v>
      </c>
      <c r="E767" s="212" t="s">
        <v>1503</v>
      </c>
      <c r="F767" s="194">
        <v>14488878</v>
      </c>
      <c r="G767" s="13" t="s">
        <v>11</v>
      </c>
      <c r="H767" s="78"/>
      <c r="I767" s="9" t="s">
        <v>1584</v>
      </c>
    </row>
    <row r="768" spans="1:9" ht="81">
      <c r="A768" s="238">
        <v>766</v>
      </c>
      <c r="B768" s="210" t="s">
        <v>1510</v>
      </c>
      <c r="C768" s="231" t="s">
        <v>180</v>
      </c>
      <c r="D768" s="231">
        <v>74.099999999999994</v>
      </c>
      <c r="E768" s="212" t="s">
        <v>1505</v>
      </c>
      <c r="F768" s="194">
        <v>121842608</v>
      </c>
      <c r="G768" s="13" t="s">
        <v>11</v>
      </c>
      <c r="H768" s="78"/>
      <c r="I768" s="9" t="s">
        <v>1584</v>
      </c>
    </row>
    <row r="769" spans="1:9" ht="40.5">
      <c r="A769" s="238">
        <v>767</v>
      </c>
      <c r="B769" s="210" t="s">
        <v>1510</v>
      </c>
      <c r="C769" s="231" t="s">
        <v>180</v>
      </c>
      <c r="D769" s="231">
        <v>111</v>
      </c>
      <c r="E769" s="212" t="s">
        <v>1512</v>
      </c>
      <c r="F769" s="194">
        <v>1599677</v>
      </c>
      <c r="G769" s="13" t="s">
        <v>11</v>
      </c>
      <c r="H769" s="78"/>
      <c r="I769" s="9" t="s">
        <v>1584</v>
      </c>
    </row>
    <row r="770" spans="1:9" ht="67.5">
      <c r="A770" s="238">
        <v>768</v>
      </c>
      <c r="B770" s="210" t="s">
        <v>1510</v>
      </c>
      <c r="C770" s="231" t="s">
        <v>180</v>
      </c>
      <c r="D770" s="231">
        <v>112</v>
      </c>
      <c r="E770" s="212" t="s">
        <v>1513</v>
      </c>
      <c r="F770" s="194">
        <v>1000000</v>
      </c>
      <c r="G770" s="13" t="s">
        <v>11</v>
      </c>
      <c r="H770" s="78"/>
      <c r="I770" s="9" t="s">
        <v>1584</v>
      </c>
    </row>
    <row r="771" spans="1:9" ht="40.5">
      <c r="A771" s="238">
        <v>769</v>
      </c>
      <c r="B771" s="210" t="s">
        <v>1514</v>
      </c>
      <c r="C771" s="231" t="s">
        <v>180</v>
      </c>
      <c r="D771" s="231">
        <v>14.1</v>
      </c>
      <c r="E771" s="213" t="s">
        <v>1457</v>
      </c>
      <c r="F771" s="194">
        <v>13962100</v>
      </c>
      <c r="G771" s="13" t="s">
        <v>11</v>
      </c>
      <c r="H771" s="78"/>
      <c r="I771" s="9" t="s">
        <v>1584</v>
      </c>
    </row>
    <row r="772" spans="1:9" ht="40.5">
      <c r="A772" s="238">
        <v>770</v>
      </c>
      <c r="B772" s="210" t="s">
        <v>1514</v>
      </c>
      <c r="C772" s="231" t="s">
        <v>180</v>
      </c>
      <c r="D772" s="231">
        <v>21</v>
      </c>
      <c r="E772" s="212" t="s">
        <v>1515</v>
      </c>
      <c r="F772" s="196">
        <v>2271959128</v>
      </c>
      <c r="G772" s="13" t="s">
        <v>11</v>
      </c>
      <c r="H772" s="78"/>
      <c r="I772" s="9" t="s">
        <v>1584</v>
      </c>
    </row>
    <row r="773" spans="1:9" ht="40.5">
      <c r="A773" s="238">
        <v>771</v>
      </c>
      <c r="B773" s="210" t="s">
        <v>1514</v>
      </c>
      <c r="C773" s="231" t="s">
        <v>180</v>
      </c>
      <c r="D773" s="231">
        <v>50.2</v>
      </c>
      <c r="E773" s="212" t="s">
        <v>1295</v>
      </c>
      <c r="F773" s="194">
        <v>2420340</v>
      </c>
      <c r="G773" s="13" t="s">
        <v>11</v>
      </c>
      <c r="H773" s="78"/>
      <c r="I773" s="9" t="s">
        <v>1584</v>
      </c>
    </row>
    <row r="774" spans="1:9" ht="54">
      <c r="A774" s="238">
        <v>772</v>
      </c>
      <c r="B774" s="210" t="s">
        <v>1514</v>
      </c>
      <c r="C774" s="231" t="s">
        <v>180</v>
      </c>
      <c r="D774" s="231">
        <v>65.099999999999994</v>
      </c>
      <c r="E774" s="212" t="s">
        <v>1516</v>
      </c>
      <c r="F774" s="194">
        <v>24203400</v>
      </c>
      <c r="G774" s="13" t="s">
        <v>11</v>
      </c>
      <c r="H774" s="78"/>
      <c r="I774" s="9" t="s">
        <v>1584</v>
      </c>
    </row>
    <row r="775" spans="1:9" ht="54">
      <c r="A775" s="238">
        <v>773</v>
      </c>
      <c r="B775" s="210" t="s">
        <v>1514</v>
      </c>
      <c r="C775" s="231" t="s">
        <v>180</v>
      </c>
      <c r="D775" s="231">
        <v>88.8</v>
      </c>
      <c r="E775" s="212" t="s">
        <v>1506</v>
      </c>
      <c r="F775" s="194">
        <v>12974039</v>
      </c>
      <c r="G775" s="13" t="s">
        <v>11</v>
      </c>
      <c r="H775" s="78"/>
      <c r="I775" s="9" t="s">
        <v>1584</v>
      </c>
    </row>
    <row r="776" spans="1:9" ht="40.5">
      <c r="A776" s="238">
        <v>774</v>
      </c>
      <c r="B776" s="210" t="s">
        <v>1514</v>
      </c>
      <c r="C776" s="231" t="s">
        <v>180</v>
      </c>
      <c r="D776" s="231">
        <v>91.1</v>
      </c>
      <c r="E776" s="215" t="s">
        <v>211</v>
      </c>
      <c r="F776" s="194">
        <v>110468977</v>
      </c>
      <c r="G776" s="13" t="s">
        <v>11</v>
      </c>
      <c r="H776" s="78"/>
      <c r="I776" s="9" t="s">
        <v>1584</v>
      </c>
    </row>
    <row r="777" spans="1:9" ht="40.5">
      <c r="A777" s="238">
        <v>775</v>
      </c>
      <c r="B777" s="210" t="s">
        <v>1514</v>
      </c>
      <c r="C777" s="231" t="s">
        <v>180</v>
      </c>
      <c r="D777" s="231">
        <v>116</v>
      </c>
      <c r="E777" s="212" t="s">
        <v>1517</v>
      </c>
      <c r="F777" s="194">
        <v>842065443</v>
      </c>
      <c r="G777" s="13" t="s">
        <v>11</v>
      </c>
      <c r="H777" s="78"/>
      <c r="I777" s="9" t="s">
        <v>1584</v>
      </c>
    </row>
    <row r="778" spans="1:9" ht="27">
      <c r="A778" s="238">
        <v>776</v>
      </c>
      <c r="B778" s="127" t="s">
        <v>1355</v>
      </c>
      <c r="C778" s="130" t="s">
        <v>271</v>
      </c>
      <c r="D778" s="128">
        <v>5</v>
      </c>
      <c r="E778" s="127" t="s">
        <v>1518</v>
      </c>
      <c r="F778" s="133">
        <v>1900000</v>
      </c>
      <c r="G778" s="13" t="s">
        <v>43</v>
      </c>
      <c r="H778" s="129" t="s">
        <v>77</v>
      </c>
      <c r="I778" s="9" t="s">
        <v>1584</v>
      </c>
    </row>
    <row r="779" spans="1:9" ht="40.5">
      <c r="A779" s="238">
        <v>777</v>
      </c>
      <c r="B779" s="127" t="s">
        <v>1355</v>
      </c>
      <c r="C779" s="130" t="s">
        <v>37</v>
      </c>
      <c r="D779" s="128">
        <v>15.3</v>
      </c>
      <c r="E779" s="127" t="s">
        <v>1519</v>
      </c>
      <c r="F779" s="133">
        <v>595338</v>
      </c>
      <c r="G779" s="13" t="s">
        <v>43</v>
      </c>
      <c r="H779" s="129" t="s">
        <v>49</v>
      </c>
      <c r="I779" s="9" t="s">
        <v>1584</v>
      </c>
    </row>
    <row r="780" spans="1:9" ht="54">
      <c r="A780" s="238">
        <v>778</v>
      </c>
      <c r="B780" s="127" t="s">
        <v>1355</v>
      </c>
      <c r="C780" s="130" t="s">
        <v>9</v>
      </c>
      <c r="D780" s="130" t="s">
        <v>1520</v>
      </c>
      <c r="E780" s="127" t="s">
        <v>1521</v>
      </c>
      <c r="F780" s="133">
        <v>1947167</v>
      </c>
      <c r="G780" s="13" t="s">
        <v>43</v>
      </c>
      <c r="H780" s="129" t="s">
        <v>29</v>
      </c>
      <c r="I780" s="9" t="s">
        <v>1584</v>
      </c>
    </row>
    <row r="781" spans="1:9" ht="54">
      <c r="A781" s="238">
        <v>779</v>
      </c>
      <c r="B781" s="127" t="s">
        <v>1355</v>
      </c>
      <c r="C781" s="130" t="s">
        <v>9</v>
      </c>
      <c r="D781" s="130" t="s">
        <v>1522</v>
      </c>
      <c r="E781" s="127" t="s">
        <v>1521</v>
      </c>
      <c r="F781" s="133">
        <v>1354735</v>
      </c>
      <c r="G781" s="13" t="s">
        <v>43</v>
      </c>
      <c r="H781" s="129" t="s">
        <v>29</v>
      </c>
      <c r="I781" s="9" t="s">
        <v>1584</v>
      </c>
    </row>
    <row r="782" spans="1:9" ht="40.5">
      <c r="A782" s="238">
        <v>780</v>
      </c>
      <c r="B782" s="127" t="s">
        <v>1355</v>
      </c>
      <c r="C782" s="130" t="s">
        <v>13</v>
      </c>
      <c r="D782" s="130">
        <v>77.400000000000006</v>
      </c>
      <c r="E782" s="127" t="s">
        <v>1523</v>
      </c>
      <c r="F782" s="133">
        <v>664180</v>
      </c>
      <c r="G782" s="13" t="s">
        <v>43</v>
      </c>
      <c r="H782" s="129" t="s">
        <v>1004</v>
      </c>
      <c r="I782" s="9" t="s">
        <v>1584</v>
      </c>
    </row>
    <row r="783" spans="1:9" ht="54">
      <c r="A783" s="238">
        <v>781</v>
      </c>
      <c r="B783" s="127" t="s">
        <v>1355</v>
      </c>
      <c r="C783" s="130" t="s">
        <v>13</v>
      </c>
      <c r="D783" s="130">
        <v>80.2</v>
      </c>
      <c r="E783" s="127" t="s">
        <v>1524</v>
      </c>
      <c r="F783" s="133">
        <v>0</v>
      </c>
      <c r="G783" s="13" t="s">
        <v>43</v>
      </c>
      <c r="H783" s="129" t="s">
        <v>12</v>
      </c>
      <c r="I783" s="9" t="s">
        <v>1584</v>
      </c>
    </row>
    <row r="784" spans="1:9" ht="40.5">
      <c r="A784" s="238">
        <v>782</v>
      </c>
      <c r="B784" s="127" t="s">
        <v>1355</v>
      </c>
      <c r="C784" s="130" t="s">
        <v>1525</v>
      </c>
      <c r="D784" s="130">
        <v>138</v>
      </c>
      <c r="E784" s="127" t="s">
        <v>1526</v>
      </c>
      <c r="F784" s="133">
        <v>4582325</v>
      </c>
      <c r="G784" s="13" t="s">
        <v>43</v>
      </c>
      <c r="H784" s="129" t="s">
        <v>1004</v>
      </c>
      <c r="I784" s="9" t="s">
        <v>1584</v>
      </c>
    </row>
    <row r="785" spans="1:9" ht="27">
      <c r="A785" s="238">
        <v>783</v>
      </c>
      <c r="B785" s="127" t="s">
        <v>1356</v>
      </c>
      <c r="C785" s="130" t="s">
        <v>37</v>
      </c>
      <c r="D785" s="128">
        <v>7</v>
      </c>
      <c r="E785" s="127" t="s">
        <v>1527</v>
      </c>
      <c r="F785" s="133" t="s">
        <v>1528</v>
      </c>
      <c r="G785" s="13" t="s">
        <v>43</v>
      </c>
      <c r="H785" s="129" t="s">
        <v>29</v>
      </c>
      <c r="I785" s="9" t="s">
        <v>1584</v>
      </c>
    </row>
    <row r="786" spans="1:9" ht="27">
      <c r="A786" s="238">
        <v>784</v>
      </c>
      <c r="B786" s="127" t="s">
        <v>1392</v>
      </c>
      <c r="C786" s="130" t="s">
        <v>1065</v>
      </c>
      <c r="D786" s="95">
        <v>67</v>
      </c>
      <c r="E786" s="204" t="s">
        <v>1529</v>
      </c>
      <c r="F786" s="170">
        <v>26199</v>
      </c>
      <c r="G786" s="13" t="s">
        <v>43</v>
      </c>
      <c r="H786" s="131" t="s">
        <v>12</v>
      </c>
      <c r="I786" s="9" t="s">
        <v>1584</v>
      </c>
    </row>
    <row r="787" spans="1:9" ht="54">
      <c r="A787" s="238">
        <v>785</v>
      </c>
      <c r="B787" s="127" t="s">
        <v>1392</v>
      </c>
      <c r="C787" s="130" t="s">
        <v>1065</v>
      </c>
      <c r="D787" s="95">
        <v>94</v>
      </c>
      <c r="E787" s="204" t="s">
        <v>1530</v>
      </c>
      <c r="F787" s="170" t="s">
        <v>1531</v>
      </c>
      <c r="G787" s="13" t="s">
        <v>43</v>
      </c>
      <c r="H787" s="131" t="s">
        <v>12</v>
      </c>
      <c r="I787" s="9" t="s">
        <v>1584</v>
      </c>
    </row>
    <row r="788" spans="1:9" ht="54">
      <c r="A788" s="238">
        <v>786</v>
      </c>
      <c r="B788" s="127" t="s">
        <v>1357</v>
      </c>
      <c r="C788" s="130" t="s">
        <v>13</v>
      </c>
      <c r="D788" s="132">
        <v>73.099999999999994</v>
      </c>
      <c r="E788" s="127" t="s">
        <v>1532</v>
      </c>
      <c r="F788" s="171">
        <v>999750</v>
      </c>
      <c r="G788" s="13" t="s">
        <v>43</v>
      </c>
      <c r="H788" s="129" t="s">
        <v>19</v>
      </c>
      <c r="I788" s="9" t="s">
        <v>1584</v>
      </c>
    </row>
    <row r="789" spans="1:9" ht="40.5">
      <c r="A789" s="238">
        <v>787</v>
      </c>
      <c r="B789" s="127" t="s">
        <v>1357</v>
      </c>
      <c r="C789" s="130" t="s">
        <v>13</v>
      </c>
      <c r="D789" s="132">
        <v>77.5</v>
      </c>
      <c r="E789" s="127" t="s">
        <v>1533</v>
      </c>
      <c r="F789" s="172">
        <v>2641325</v>
      </c>
      <c r="G789" s="13" t="s">
        <v>43</v>
      </c>
      <c r="H789" s="129" t="s">
        <v>1004</v>
      </c>
      <c r="I789" s="9" t="s">
        <v>1584</v>
      </c>
    </row>
    <row r="790" spans="1:9" ht="40.5">
      <c r="A790" s="238">
        <v>788</v>
      </c>
      <c r="B790" s="127" t="s">
        <v>1357</v>
      </c>
      <c r="C790" s="130" t="s">
        <v>13</v>
      </c>
      <c r="D790" s="132">
        <v>77.599999999999994</v>
      </c>
      <c r="E790" s="127" t="s">
        <v>1534</v>
      </c>
      <c r="F790" s="171">
        <v>624032</v>
      </c>
      <c r="G790" s="13" t="s">
        <v>43</v>
      </c>
      <c r="H790" s="129" t="s">
        <v>1004</v>
      </c>
      <c r="I790" s="9" t="s">
        <v>1584</v>
      </c>
    </row>
    <row r="791" spans="1:9" ht="40.5">
      <c r="A791" s="238">
        <v>789</v>
      </c>
      <c r="B791" s="127" t="s">
        <v>1357</v>
      </c>
      <c r="C791" s="130" t="s">
        <v>1525</v>
      </c>
      <c r="D791" s="132" t="s">
        <v>1535</v>
      </c>
      <c r="E791" s="127" t="s">
        <v>1536</v>
      </c>
      <c r="F791" s="171">
        <v>174995</v>
      </c>
      <c r="G791" s="13" t="s">
        <v>43</v>
      </c>
      <c r="H791" s="129" t="s">
        <v>19</v>
      </c>
      <c r="I791" s="9" t="s">
        <v>1584</v>
      </c>
    </row>
    <row r="792" spans="1:9" ht="40.5">
      <c r="A792" s="238">
        <v>790</v>
      </c>
      <c r="B792" s="127" t="s">
        <v>1358</v>
      </c>
      <c r="C792" s="130" t="s">
        <v>37</v>
      </c>
      <c r="D792" s="128">
        <v>15</v>
      </c>
      <c r="E792" s="127" t="s">
        <v>1537</v>
      </c>
      <c r="F792" s="133">
        <v>74256</v>
      </c>
      <c r="G792" s="13" t="s">
        <v>43</v>
      </c>
      <c r="H792" s="129" t="s">
        <v>49</v>
      </c>
      <c r="I792" s="9" t="s">
        <v>1584</v>
      </c>
    </row>
    <row r="793" spans="1:9" ht="40.5">
      <c r="A793" s="238">
        <v>791</v>
      </c>
      <c r="B793" s="127" t="s">
        <v>1406</v>
      </c>
      <c r="C793" s="130" t="s">
        <v>1065</v>
      </c>
      <c r="D793" s="95">
        <v>86.1</v>
      </c>
      <c r="E793" s="204" t="s">
        <v>1538</v>
      </c>
      <c r="F793" s="170" t="s">
        <v>1539</v>
      </c>
      <c r="G793" s="13" t="s">
        <v>43</v>
      </c>
      <c r="H793" s="131" t="s">
        <v>12</v>
      </c>
      <c r="I793" s="9" t="s">
        <v>1584</v>
      </c>
    </row>
    <row r="794" spans="1:9" ht="40.5">
      <c r="A794" s="238">
        <v>792</v>
      </c>
      <c r="B794" s="127" t="s">
        <v>1359</v>
      </c>
      <c r="C794" s="130" t="s">
        <v>37</v>
      </c>
      <c r="D794" s="128">
        <v>15</v>
      </c>
      <c r="E794" s="127" t="s">
        <v>1537</v>
      </c>
      <c r="F794" s="133">
        <v>65431</v>
      </c>
      <c r="G794" s="13" t="s">
        <v>43</v>
      </c>
      <c r="H794" s="129" t="s">
        <v>49</v>
      </c>
      <c r="I794" s="9" t="s">
        <v>1584</v>
      </c>
    </row>
    <row r="795" spans="1:9" ht="40.5">
      <c r="A795" s="238">
        <v>793</v>
      </c>
      <c r="B795" s="127" t="s">
        <v>1359</v>
      </c>
      <c r="C795" s="130" t="s">
        <v>13</v>
      </c>
      <c r="D795" s="128">
        <v>59</v>
      </c>
      <c r="E795" s="127" t="s">
        <v>1540</v>
      </c>
      <c r="F795" s="133">
        <v>991957</v>
      </c>
      <c r="G795" s="13" t="s">
        <v>43</v>
      </c>
      <c r="H795" s="129" t="s">
        <v>19</v>
      </c>
      <c r="I795" s="9" t="s">
        <v>1584</v>
      </c>
    </row>
    <row r="796" spans="1:9" ht="40.5">
      <c r="A796" s="238">
        <v>794</v>
      </c>
      <c r="B796" s="127" t="s">
        <v>1359</v>
      </c>
      <c r="C796" s="130" t="s">
        <v>13</v>
      </c>
      <c r="D796" s="128">
        <v>79.099999999999994</v>
      </c>
      <c r="E796" s="127" t="s">
        <v>1541</v>
      </c>
      <c r="F796" s="133">
        <v>143905</v>
      </c>
      <c r="G796" s="13" t="s">
        <v>43</v>
      </c>
      <c r="H796" s="129" t="s">
        <v>12</v>
      </c>
      <c r="I796" s="9" t="s">
        <v>1584</v>
      </c>
    </row>
    <row r="797" spans="1:9" ht="40.5">
      <c r="A797" s="238">
        <v>795</v>
      </c>
      <c r="B797" s="127" t="s">
        <v>1359</v>
      </c>
      <c r="C797" s="130" t="s">
        <v>13</v>
      </c>
      <c r="D797" s="128">
        <v>80.3</v>
      </c>
      <c r="E797" s="127" t="s">
        <v>1542</v>
      </c>
      <c r="F797" s="133"/>
      <c r="G797" s="13" t="s">
        <v>43</v>
      </c>
      <c r="H797" s="129" t="s">
        <v>12</v>
      </c>
      <c r="I797" s="9" t="s">
        <v>1584</v>
      </c>
    </row>
    <row r="798" spans="1:9" ht="54">
      <c r="A798" s="238">
        <v>796</v>
      </c>
      <c r="B798" s="127" t="s">
        <v>1359</v>
      </c>
      <c r="C798" s="130" t="s">
        <v>1525</v>
      </c>
      <c r="D798" s="128">
        <v>136</v>
      </c>
      <c r="E798" s="127" t="s">
        <v>1543</v>
      </c>
      <c r="F798" s="133">
        <v>31618235</v>
      </c>
      <c r="G798" s="13" t="s">
        <v>43</v>
      </c>
      <c r="H798" s="312" t="s">
        <v>1544</v>
      </c>
      <c r="I798" s="9" t="s">
        <v>1584</v>
      </c>
    </row>
    <row r="799" spans="1:9" ht="40.5">
      <c r="A799" s="238">
        <v>797</v>
      </c>
      <c r="B799" s="127" t="s">
        <v>1360</v>
      </c>
      <c r="C799" s="130" t="s">
        <v>13</v>
      </c>
      <c r="D799" s="132">
        <v>70.099999999999994</v>
      </c>
      <c r="E799" s="127" t="s">
        <v>1545</v>
      </c>
      <c r="F799" s="171">
        <v>199918</v>
      </c>
      <c r="G799" s="13" t="s">
        <v>43</v>
      </c>
      <c r="H799" s="129" t="s">
        <v>12</v>
      </c>
      <c r="I799" s="9" t="s">
        <v>1584</v>
      </c>
    </row>
    <row r="800" spans="1:9" ht="40.5">
      <c r="A800" s="238">
        <v>798</v>
      </c>
      <c r="B800" s="127" t="s">
        <v>1360</v>
      </c>
      <c r="C800" s="130" t="s">
        <v>13</v>
      </c>
      <c r="D800" s="132" t="s">
        <v>1546</v>
      </c>
      <c r="E800" s="127" t="s">
        <v>1547</v>
      </c>
      <c r="F800" s="172">
        <v>3291766</v>
      </c>
      <c r="G800" s="13" t="s">
        <v>43</v>
      </c>
      <c r="H800" s="129" t="s">
        <v>12</v>
      </c>
      <c r="I800" s="9" t="s">
        <v>1584</v>
      </c>
    </row>
    <row r="801" spans="1:9" ht="40.5">
      <c r="A801" s="238">
        <v>799</v>
      </c>
      <c r="B801" s="127" t="s">
        <v>1360</v>
      </c>
      <c r="C801" s="130" t="s">
        <v>13</v>
      </c>
      <c r="D801" s="132" t="s">
        <v>1548</v>
      </c>
      <c r="E801" s="127" t="s">
        <v>1542</v>
      </c>
      <c r="F801" s="171"/>
      <c r="G801" s="13" t="s">
        <v>43</v>
      </c>
      <c r="H801" s="129" t="s">
        <v>12</v>
      </c>
      <c r="I801" s="9" t="s">
        <v>1584</v>
      </c>
    </row>
    <row r="802" spans="1:9" ht="27">
      <c r="A802" s="238">
        <v>800</v>
      </c>
      <c r="B802" s="127" t="s">
        <v>1360</v>
      </c>
      <c r="C802" s="130" t="s">
        <v>1065</v>
      </c>
      <c r="D802" s="95">
        <v>84.1</v>
      </c>
      <c r="E802" s="204" t="s">
        <v>1549</v>
      </c>
      <c r="F802" s="170">
        <v>721768</v>
      </c>
      <c r="G802" s="13" t="s">
        <v>43</v>
      </c>
      <c r="H802" s="131" t="s">
        <v>12</v>
      </c>
      <c r="I802" s="9" t="s">
        <v>1584</v>
      </c>
    </row>
    <row r="803" spans="1:9" ht="54">
      <c r="A803" s="238">
        <v>801</v>
      </c>
      <c r="B803" s="127" t="s">
        <v>1361</v>
      </c>
      <c r="C803" s="130" t="s">
        <v>797</v>
      </c>
      <c r="D803" s="130" t="s">
        <v>1550</v>
      </c>
      <c r="E803" s="127" t="s">
        <v>1551</v>
      </c>
      <c r="F803" s="133" t="s">
        <v>1552</v>
      </c>
      <c r="G803" s="13" t="s">
        <v>43</v>
      </c>
      <c r="H803" s="129" t="s">
        <v>52</v>
      </c>
      <c r="I803" s="9" t="s">
        <v>1584</v>
      </c>
    </row>
    <row r="804" spans="1:9" ht="27">
      <c r="A804" s="238">
        <v>802</v>
      </c>
      <c r="B804" s="127" t="s">
        <v>1553</v>
      </c>
      <c r="C804" s="130" t="s">
        <v>1065</v>
      </c>
      <c r="D804" s="95">
        <v>82</v>
      </c>
      <c r="E804" s="204" t="s">
        <v>1554</v>
      </c>
      <c r="F804" s="170" t="s">
        <v>1555</v>
      </c>
      <c r="G804" s="13" t="s">
        <v>43</v>
      </c>
      <c r="H804" s="131" t="s">
        <v>12</v>
      </c>
      <c r="I804" s="9" t="s">
        <v>1584</v>
      </c>
    </row>
    <row r="805" spans="1:9" ht="27">
      <c r="A805" s="238">
        <v>803</v>
      </c>
      <c r="B805" s="127" t="s">
        <v>1362</v>
      </c>
      <c r="C805" s="130" t="s">
        <v>37</v>
      </c>
      <c r="D805" s="133">
        <v>7</v>
      </c>
      <c r="E805" s="127" t="s">
        <v>1556</v>
      </c>
      <c r="F805" s="133">
        <v>919628</v>
      </c>
      <c r="G805" s="13" t="s">
        <v>43</v>
      </c>
      <c r="H805" s="129" t="s">
        <v>29</v>
      </c>
      <c r="I805" s="9" t="s">
        <v>1584</v>
      </c>
    </row>
    <row r="806" spans="1:9" ht="40.5">
      <c r="A806" s="238">
        <v>804</v>
      </c>
      <c r="B806" s="127" t="s">
        <v>1362</v>
      </c>
      <c r="C806" s="130" t="s">
        <v>37</v>
      </c>
      <c r="D806" s="133">
        <v>46</v>
      </c>
      <c r="E806" s="127" t="s">
        <v>1557</v>
      </c>
      <c r="F806" s="133">
        <v>75000</v>
      </c>
      <c r="G806" s="13" t="s">
        <v>43</v>
      </c>
      <c r="H806" s="131" t="s">
        <v>12</v>
      </c>
      <c r="I806" s="9" t="s">
        <v>1584</v>
      </c>
    </row>
    <row r="807" spans="1:9" ht="54">
      <c r="A807" s="238">
        <v>805</v>
      </c>
      <c r="B807" s="127" t="s">
        <v>1362</v>
      </c>
      <c r="C807" s="130" t="s">
        <v>9</v>
      </c>
      <c r="D807" s="133" t="s">
        <v>1558</v>
      </c>
      <c r="E807" s="127" t="s">
        <v>1521</v>
      </c>
      <c r="F807" s="133">
        <v>718428</v>
      </c>
      <c r="G807" s="13" t="s">
        <v>43</v>
      </c>
      <c r="H807" s="129" t="s">
        <v>29</v>
      </c>
      <c r="I807" s="9" t="s">
        <v>1584</v>
      </c>
    </row>
    <row r="808" spans="1:9" ht="40.5">
      <c r="A808" s="238">
        <v>806</v>
      </c>
      <c r="B808" s="127" t="s">
        <v>1362</v>
      </c>
      <c r="C808" s="130" t="s">
        <v>13</v>
      </c>
      <c r="D808" s="132" t="s">
        <v>1559</v>
      </c>
      <c r="E808" s="127" t="s">
        <v>1560</v>
      </c>
      <c r="F808" s="171">
        <v>60000</v>
      </c>
      <c r="G808" s="13" t="s">
        <v>43</v>
      </c>
      <c r="H808" s="131" t="s">
        <v>12</v>
      </c>
      <c r="I808" s="9" t="s">
        <v>1584</v>
      </c>
    </row>
    <row r="809" spans="1:9" ht="40.5">
      <c r="A809" s="238">
        <v>807</v>
      </c>
      <c r="B809" s="127" t="s">
        <v>1363</v>
      </c>
      <c r="C809" s="130" t="s">
        <v>9</v>
      </c>
      <c r="D809" s="133">
        <v>51</v>
      </c>
      <c r="E809" s="127" t="s">
        <v>1561</v>
      </c>
      <c r="F809" s="133"/>
      <c r="G809" s="13" t="s">
        <v>43</v>
      </c>
      <c r="H809" s="129" t="s">
        <v>1004</v>
      </c>
      <c r="I809" s="9" t="s">
        <v>1584</v>
      </c>
    </row>
    <row r="810" spans="1:9" ht="54">
      <c r="A810" s="238">
        <v>808</v>
      </c>
      <c r="B810" s="127" t="s">
        <v>1363</v>
      </c>
      <c r="C810" s="130" t="s">
        <v>9</v>
      </c>
      <c r="D810" s="133" t="s">
        <v>1562</v>
      </c>
      <c r="E810" s="127" t="s">
        <v>1521</v>
      </c>
      <c r="F810" s="133">
        <v>2926038</v>
      </c>
      <c r="G810" s="13" t="s">
        <v>43</v>
      </c>
      <c r="H810" s="129" t="s">
        <v>29</v>
      </c>
      <c r="I810" s="9" t="s">
        <v>1584</v>
      </c>
    </row>
    <row r="811" spans="1:9" ht="54">
      <c r="A811" s="238">
        <v>809</v>
      </c>
      <c r="B811" s="127" t="s">
        <v>1363</v>
      </c>
      <c r="C811" s="130" t="s">
        <v>9</v>
      </c>
      <c r="D811" s="133" t="s">
        <v>1563</v>
      </c>
      <c r="E811" s="127" t="s">
        <v>1521</v>
      </c>
      <c r="F811" s="133">
        <v>792242</v>
      </c>
      <c r="G811" s="13" t="s">
        <v>43</v>
      </c>
      <c r="H811" s="129" t="s">
        <v>29</v>
      </c>
      <c r="I811" s="9" t="s">
        <v>1584</v>
      </c>
    </row>
    <row r="812" spans="1:9" ht="54">
      <c r="A812" s="238">
        <v>810</v>
      </c>
      <c r="B812" s="127" t="s">
        <v>1363</v>
      </c>
      <c r="C812" s="130" t="s">
        <v>9</v>
      </c>
      <c r="D812" s="133" t="s">
        <v>1564</v>
      </c>
      <c r="E812" s="127" t="s">
        <v>1521</v>
      </c>
      <c r="F812" s="133">
        <v>1262544</v>
      </c>
      <c r="G812" s="13" t="s">
        <v>43</v>
      </c>
      <c r="H812" s="129" t="s">
        <v>29</v>
      </c>
      <c r="I812" s="9" t="s">
        <v>1584</v>
      </c>
    </row>
    <row r="813" spans="1:9" ht="40.5">
      <c r="A813" s="238">
        <v>811</v>
      </c>
      <c r="B813" s="127" t="s">
        <v>1465</v>
      </c>
      <c r="C813" s="130" t="s">
        <v>37</v>
      </c>
      <c r="D813" s="130">
        <v>7</v>
      </c>
      <c r="E813" s="127" t="s">
        <v>1556</v>
      </c>
      <c r="F813" s="133" t="s">
        <v>1565</v>
      </c>
      <c r="G813" s="13" t="s">
        <v>43</v>
      </c>
      <c r="H813" s="129" t="s">
        <v>29</v>
      </c>
      <c r="I813" s="9" t="s">
        <v>1584</v>
      </c>
    </row>
    <row r="814" spans="1:9" ht="54">
      <c r="A814" s="238">
        <v>812</v>
      </c>
      <c r="B814" s="127" t="s">
        <v>1465</v>
      </c>
      <c r="C814" s="130" t="s">
        <v>9</v>
      </c>
      <c r="D814" s="130" t="s">
        <v>1566</v>
      </c>
      <c r="E814" s="127" t="s">
        <v>1567</v>
      </c>
      <c r="F814" s="133">
        <v>1971334</v>
      </c>
      <c r="G814" s="13" t="s">
        <v>43</v>
      </c>
      <c r="H814" s="129" t="s">
        <v>44</v>
      </c>
      <c r="I814" s="9" t="s">
        <v>1584</v>
      </c>
    </row>
    <row r="815" spans="1:9" ht="54">
      <c r="A815" s="238">
        <v>813</v>
      </c>
      <c r="B815" s="127" t="s">
        <v>1465</v>
      </c>
      <c r="C815" s="130" t="s">
        <v>9</v>
      </c>
      <c r="D815" s="130" t="s">
        <v>1568</v>
      </c>
      <c r="E815" s="127" t="s">
        <v>1521</v>
      </c>
      <c r="F815" s="133">
        <v>1233091</v>
      </c>
      <c r="G815" s="13" t="s">
        <v>43</v>
      </c>
      <c r="H815" s="129" t="s">
        <v>29</v>
      </c>
      <c r="I815" s="9" t="s">
        <v>1584</v>
      </c>
    </row>
    <row r="816" spans="1:9" ht="27">
      <c r="A816" s="238">
        <v>814</v>
      </c>
      <c r="B816" s="127" t="s">
        <v>1470</v>
      </c>
      <c r="C816" s="130" t="s">
        <v>1065</v>
      </c>
      <c r="D816" s="95">
        <v>83.1</v>
      </c>
      <c r="E816" s="204" t="s">
        <v>1569</v>
      </c>
      <c r="F816" s="170" t="s">
        <v>1473</v>
      </c>
      <c r="G816" s="13" t="s">
        <v>43</v>
      </c>
      <c r="H816" s="131" t="s">
        <v>12</v>
      </c>
      <c r="I816" s="9" t="s">
        <v>1584</v>
      </c>
    </row>
    <row r="817" spans="1:9" ht="40.5">
      <c r="A817" s="238">
        <v>815</v>
      </c>
      <c r="B817" s="127" t="s">
        <v>1570</v>
      </c>
      <c r="C817" s="130" t="s">
        <v>13</v>
      </c>
      <c r="D817" s="132" t="s">
        <v>1571</v>
      </c>
      <c r="E817" s="127" t="s">
        <v>1572</v>
      </c>
      <c r="F817" s="171">
        <v>1430910</v>
      </c>
      <c r="G817" s="13" t="s">
        <v>43</v>
      </c>
      <c r="H817" s="131" t="s">
        <v>12</v>
      </c>
      <c r="I817" s="9" t="s">
        <v>1584</v>
      </c>
    </row>
    <row r="818" spans="1:9" ht="40.5">
      <c r="A818" s="238">
        <v>816</v>
      </c>
      <c r="B818" s="127" t="s">
        <v>1570</v>
      </c>
      <c r="C818" s="130" t="s">
        <v>13</v>
      </c>
      <c r="D818" s="132">
        <v>62</v>
      </c>
      <c r="E818" s="127" t="s">
        <v>1573</v>
      </c>
      <c r="F818" s="172">
        <v>51138000</v>
      </c>
      <c r="G818" s="13" t="s">
        <v>43</v>
      </c>
      <c r="H818" s="131" t="s">
        <v>12</v>
      </c>
      <c r="I818" s="9" t="s">
        <v>1584</v>
      </c>
    </row>
    <row r="819" spans="1:9" ht="54">
      <c r="A819" s="238">
        <v>817</v>
      </c>
      <c r="B819" s="127" t="s">
        <v>1570</v>
      </c>
      <c r="C819" s="130" t="s">
        <v>13</v>
      </c>
      <c r="D819" s="132">
        <v>78.3</v>
      </c>
      <c r="E819" s="127" t="s">
        <v>1574</v>
      </c>
      <c r="F819" s="171">
        <v>5113800</v>
      </c>
      <c r="G819" s="13" t="s">
        <v>43</v>
      </c>
      <c r="H819" s="131" t="s">
        <v>12</v>
      </c>
      <c r="I819" s="9" t="s">
        <v>1584</v>
      </c>
    </row>
    <row r="820" spans="1:9" ht="27">
      <c r="A820" s="238">
        <v>818</v>
      </c>
      <c r="B820" s="127" t="s">
        <v>1570</v>
      </c>
      <c r="C820" s="130" t="s">
        <v>1065</v>
      </c>
      <c r="D820" s="95">
        <v>92</v>
      </c>
      <c r="E820" s="204" t="s">
        <v>1575</v>
      </c>
      <c r="F820" s="170">
        <v>106494454</v>
      </c>
      <c r="G820" s="13" t="s">
        <v>43</v>
      </c>
      <c r="H820" s="131" t="s">
        <v>12</v>
      </c>
      <c r="I820" s="9" t="s">
        <v>1584</v>
      </c>
    </row>
    <row r="821" spans="1:9" ht="40.5">
      <c r="A821" s="238">
        <v>819</v>
      </c>
      <c r="B821" s="127" t="s">
        <v>1369</v>
      </c>
      <c r="C821" s="130" t="s">
        <v>1065</v>
      </c>
      <c r="D821" s="95">
        <v>83.2</v>
      </c>
      <c r="E821" s="204" t="s">
        <v>1569</v>
      </c>
      <c r="F821" s="170" t="s">
        <v>1576</v>
      </c>
      <c r="G821" s="13" t="s">
        <v>43</v>
      </c>
      <c r="H821" s="131" t="s">
        <v>12</v>
      </c>
      <c r="I821" s="9" t="s">
        <v>1584</v>
      </c>
    </row>
    <row r="822" spans="1:9" ht="40.5">
      <c r="A822" s="238">
        <v>820</v>
      </c>
      <c r="B822" s="127" t="s">
        <v>1369</v>
      </c>
      <c r="C822" s="130" t="s">
        <v>1065</v>
      </c>
      <c r="D822" s="95">
        <v>87.2</v>
      </c>
      <c r="E822" s="204" t="s">
        <v>1577</v>
      </c>
      <c r="F822" s="170" t="s">
        <v>1578</v>
      </c>
      <c r="G822" s="13" t="s">
        <v>43</v>
      </c>
      <c r="H822" s="131" t="s">
        <v>12</v>
      </c>
      <c r="I822" s="9" t="s">
        <v>1584</v>
      </c>
    </row>
    <row r="823" spans="1:9" ht="40.5">
      <c r="A823" s="238">
        <v>821</v>
      </c>
      <c r="B823" s="127" t="s">
        <v>1369</v>
      </c>
      <c r="C823" s="130" t="s">
        <v>1065</v>
      </c>
      <c r="D823" s="95">
        <v>95</v>
      </c>
      <c r="E823" s="204" t="s">
        <v>1579</v>
      </c>
      <c r="F823" s="170">
        <v>0</v>
      </c>
      <c r="G823" s="13" t="s">
        <v>43</v>
      </c>
      <c r="H823" s="131" t="s">
        <v>12</v>
      </c>
      <c r="I823" s="9" t="s">
        <v>1584</v>
      </c>
    </row>
    <row r="824" spans="1:9" ht="40.5">
      <c r="A824" s="238">
        <v>822</v>
      </c>
      <c r="B824" s="127" t="s">
        <v>1370</v>
      </c>
      <c r="C824" s="130" t="s">
        <v>1065</v>
      </c>
      <c r="D824" s="95">
        <v>76.099999999999994</v>
      </c>
      <c r="E824" s="204" t="s">
        <v>1580</v>
      </c>
      <c r="F824" s="170">
        <v>0</v>
      </c>
      <c r="G824" s="13" t="s">
        <v>43</v>
      </c>
      <c r="H824" s="131" t="s">
        <v>12</v>
      </c>
      <c r="I824" s="9" t="s">
        <v>1584</v>
      </c>
    </row>
    <row r="825" spans="1:9" ht="40.5">
      <c r="A825" s="238">
        <v>823</v>
      </c>
      <c r="B825" s="127" t="s">
        <v>1370</v>
      </c>
      <c r="C825" s="130" t="s">
        <v>1065</v>
      </c>
      <c r="D825" s="95">
        <v>87.1</v>
      </c>
      <c r="E825" s="204" t="s">
        <v>1581</v>
      </c>
      <c r="F825" s="170" t="s">
        <v>1582</v>
      </c>
      <c r="G825" s="13" t="s">
        <v>43</v>
      </c>
      <c r="H825" s="131" t="s">
        <v>12</v>
      </c>
      <c r="I825" s="9" t="s">
        <v>1584</v>
      </c>
    </row>
    <row r="826" spans="1:9" ht="40.5">
      <c r="A826" s="238">
        <v>824</v>
      </c>
      <c r="B826" s="127" t="s">
        <v>1370</v>
      </c>
      <c r="C826" s="130" t="s">
        <v>1065</v>
      </c>
      <c r="D826" s="95">
        <v>89</v>
      </c>
      <c r="E826" s="204" t="s">
        <v>1583</v>
      </c>
      <c r="F826" s="170">
        <v>0</v>
      </c>
      <c r="G826" s="13" t="s">
        <v>43</v>
      </c>
      <c r="H826" s="131" t="s">
        <v>12</v>
      </c>
      <c r="I826" s="9" t="s">
        <v>1584</v>
      </c>
    </row>
    <row r="827" spans="1:9" ht="38.25">
      <c r="A827" s="238">
        <v>825</v>
      </c>
      <c r="B827" s="216" t="s">
        <v>1595</v>
      </c>
      <c r="C827" s="162" t="s">
        <v>104</v>
      </c>
      <c r="D827" s="162">
        <v>2.0099999999999998</v>
      </c>
      <c r="E827" s="216" t="s">
        <v>1620</v>
      </c>
      <c r="F827" s="166">
        <v>8711521</v>
      </c>
      <c r="G827" s="162" t="s">
        <v>11</v>
      </c>
      <c r="H827" s="163" t="s">
        <v>47</v>
      </c>
      <c r="I827" s="9" t="s">
        <v>1819</v>
      </c>
    </row>
    <row r="828" spans="1:9" ht="25.5">
      <c r="A828" s="238">
        <v>826</v>
      </c>
      <c r="B828" s="216" t="s">
        <v>1595</v>
      </c>
      <c r="C828" s="162" t="s">
        <v>104</v>
      </c>
      <c r="D828" s="162">
        <v>2.02</v>
      </c>
      <c r="E828" s="217" t="s">
        <v>1621</v>
      </c>
      <c r="F828" s="166">
        <v>53038000</v>
      </c>
      <c r="G828" s="162" t="s">
        <v>11</v>
      </c>
      <c r="H828" s="162" t="s">
        <v>12</v>
      </c>
      <c r="I828" s="9" t="s">
        <v>1819</v>
      </c>
    </row>
    <row r="829" spans="1:9" ht="38.25">
      <c r="A829" s="238">
        <v>827</v>
      </c>
      <c r="B829" s="216" t="s">
        <v>1595</v>
      </c>
      <c r="C829" s="162" t="s">
        <v>104</v>
      </c>
      <c r="D829" s="162">
        <v>2.0299999999999998</v>
      </c>
      <c r="E829" s="216" t="s">
        <v>1622</v>
      </c>
      <c r="F829" s="166">
        <v>325353000</v>
      </c>
      <c r="G829" s="162" t="s">
        <v>11</v>
      </c>
      <c r="H829" s="162" t="s">
        <v>1004</v>
      </c>
      <c r="I829" s="9" t="s">
        <v>1819</v>
      </c>
    </row>
    <row r="830" spans="1:9" ht="38.25">
      <c r="A830" s="238">
        <v>828</v>
      </c>
      <c r="B830" s="216" t="s">
        <v>1595</v>
      </c>
      <c r="C830" s="162" t="s">
        <v>104</v>
      </c>
      <c r="D830" s="162">
        <v>2.04</v>
      </c>
      <c r="E830" s="216" t="s">
        <v>1623</v>
      </c>
      <c r="F830" s="166">
        <v>39863000</v>
      </c>
      <c r="G830" s="162" t="s">
        <v>11</v>
      </c>
      <c r="H830" s="162" t="s">
        <v>12</v>
      </c>
      <c r="I830" s="9" t="s">
        <v>1819</v>
      </c>
    </row>
    <row r="831" spans="1:9" ht="25.5">
      <c r="A831" s="238">
        <v>829</v>
      </c>
      <c r="B831" s="216" t="s">
        <v>1624</v>
      </c>
      <c r="C831" s="162" t="s">
        <v>126</v>
      </c>
      <c r="D831" s="162">
        <v>2.06</v>
      </c>
      <c r="E831" s="216" t="s">
        <v>1625</v>
      </c>
      <c r="F831" s="166">
        <v>1647555000</v>
      </c>
      <c r="G831" s="162" t="s">
        <v>11</v>
      </c>
      <c r="H831" s="163" t="s">
        <v>47</v>
      </c>
      <c r="I831" s="9" t="s">
        <v>1819</v>
      </c>
    </row>
    <row r="832" spans="1:9" ht="38.25">
      <c r="A832" s="238">
        <v>830</v>
      </c>
      <c r="B832" s="216" t="s">
        <v>1624</v>
      </c>
      <c r="C832" s="162" t="s">
        <v>126</v>
      </c>
      <c r="D832" s="162">
        <v>2.0699999999999998</v>
      </c>
      <c r="E832" s="216" t="s">
        <v>1626</v>
      </c>
      <c r="F832" s="166">
        <v>157355000</v>
      </c>
      <c r="G832" s="162" t="s">
        <v>11</v>
      </c>
      <c r="H832" s="162" t="s">
        <v>12</v>
      </c>
      <c r="I832" s="9" t="s">
        <v>1819</v>
      </c>
    </row>
    <row r="833" spans="1:9" ht="38.25">
      <c r="A833" s="238">
        <v>831</v>
      </c>
      <c r="B833" s="216" t="s">
        <v>1598</v>
      </c>
      <c r="C833" s="162" t="s">
        <v>1627</v>
      </c>
      <c r="D833" s="162">
        <v>2.2000000000000002</v>
      </c>
      <c r="E833" s="216" t="s">
        <v>1628</v>
      </c>
      <c r="F833" s="166">
        <v>670000</v>
      </c>
      <c r="G833" s="162" t="s">
        <v>11</v>
      </c>
      <c r="H833" s="162" t="s">
        <v>19</v>
      </c>
      <c r="I833" s="9" t="s">
        <v>1819</v>
      </c>
    </row>
    <row r="834" spans="1:9" ht="38.25">
      <c r="A834" s="238">
        <v>832</v>
      </c>
      <c r="B834" s="216" t="s">
        <v>1598</v>
      </c>
      <c r="C834" s="162" t="s">
        <v>1627</v>
      </c>
      <c r="D834" s="162">
        <v>2.2999999999999998</v>
      </c>
      <c r="E834" s="216" t="s">
        <v>1629</v>
      </c>
      <c r="F834" s="166">
        <v>20184000</v>
      </c>
      <c r="G834" s="162" t="s">
        <v>11</v>
      </c>
      <c r="H834" s="162" t="s">
        <v>12</v>
      </c>
      <c r="I834" s="9" t="s">
        <v>1819</v>
      </c>
    </row>
    <row r="835" spans="1:9" ht="25.5">
      <c r="A835" s="238">
        <v>833</v>
      </c>
      <c r="B835" s="216" t="s">
        <v>1598</v>
      </c>
      <c r="C835" s="162" t="s">
        <v>1627</v>
      </c>
      <c r="D835" s="162">
        <v>2.4</v>
      </c>
      <c r="E835" s="216" t="s">
        <v>1630</v>
      </c>
      <c r="F835" s="166">
        <v>76591850</v>
      </c>
      <c r="G835" s="162" t="s">
        <v>11</v>
      </c>
      <c r="H835" s="162" t="s">
        <v>12</v>
      </c>
      <c r="I835" s="9" t="s">
        <v>1819</v>
      </c>
    </row>
    <row r="836" spans="1:9" ht="38.25">
      <c r="A836" s="238">
        <v>834</v>
      </c>
      <c r="B836" s="216" t="s">
        <v>1598</v>
      </c>
      <c r="C836" s="162" t="s">
        <v>1627</v>
      </c>
      <c r="D836" s="162">
        <v>2.5</v>
      </c>
      <c r="E836" s="216" t="s">
        <v>1631</v>
      </c>
      <c r="F836" s="166">
        <v>9356135</v>
      </c>
      <c r="G836" s="162" t="s">
        <v>11</v>
      </c>
      <c r="H836" s="162" t="s">
        <v>12</v>
      </c>
      <c r="I836" s="9" t="s">
        <v>1819</v>
      </c>
    </row>
    <row r="837" spans="1:9" ht="51">
      <c r="A837" s="238">
        <v>835</v>
      </c>
      <c r="B837" s="216" t="s">
        <v>1598</v>
      </c>
      <c r="C837" s="162" t="s">
        <v>1627</v>
      </c>
      <c r="D837" s="162">
        <v>2.6</v>
      </c>
      <c r="E837" s="216" t="s">
        <v>1632</v>
      </c>
      <c r="F837" s="166">
        <v>1988000</v>
      </c>
      <c r="G837" s="162" t="s">
        <v>11</v>
      </c>
      <c r="H837" s="162" t="s">
        <v>12</v>
      </c>
      <c r="I837" s="9" t="s">
        <v>1819</v>
      </c>
    </row>
    <row r="838" spans="1:9" ht="76.5">
      <c r="A838" s="238">
        <v>836</v>
      </c>
      <c r="B838" s="216" t="s">
        <v>1633</v>
      </c>
      <c r="C838" s="162" t="s">
        <v>1634</v>
      </c>
      <c r="D838" s="162">
        <v>1</v>
      </c>
      <c r="E838" s="216" t="s">
        <v>1635</v>
      </c>
      <c r="F838" s="166">
        <v>23000</v>
      </c>
      <c r="G838" s="162" t="s">
        <v>43</v>
      </c>
      <c r="H838" s="162" t="s">
        <v>12</v>
      </c>
      <c r="I838" s="9" t="s">
        <v>1819</v>
      </c>
    </row>
    <row r="839" spans="1:9" ht="38.25">
      <c r="A839" s="238">
        <v>837</v>
      </c>
      <c r="B839" s="216" t="s">
        <v>1601</v>
      </c>
      <c r="C839" s="162" t="s">
        <v>104</v>
      </c>
      <c r="D839" s="164">
        <v>2.0099999999999998</v>
      </c>
      <c r="E839" s="218" t="s">
        <v>1636</v>
      </c>
      <c r="F839" s="197">
        <v>4500000</v>
      </c>
      <c r="G839" s="164" t="s">
        <v>11</v>
      </c>
      <c r="H839" s="162" t="s">
        <v>12</v>
      </c>
      <c r="I839" s="9" t="s">
        <v>1819</v>
      </c>
    </row>
    <row r="840" spans="1:9" ht="25.5">
      <c r="A840" s="238">
        <v>838</v>
      </c>
      <c r="B840" s="216" t="s">
        <v>1602</v>
      </c>
      <c r="C840" s="162" t="s">
        <v>1132</v>
      </c>
      <c r="D840" s="162">
        <v>2.0099999999999998</v>
      </c>
      <c r="E840" s="216" t="s">
        <v>1637</v>
      </c>
      <c r="F840" s="166">
        <v>3512089</v>
      </c>
      <c r="G840" s="162" t="s">
        <v>11</v>
      </c>
      <c r="H840" s="162" t="s">
        <v>1638</v>
      </c>
      <c r="I840" s="9" t="s">
        <v>1819</v>
      </c>
    </row>
    <row r="841" spans="1:9" ht="38.25">
      <c r="A841" s="238">
        <v>839</v>
      </c>
      <c r="B841" s="216" t="s">
        <v>1603</v>
      </c>
      <c r="C841" s="162" t="s">
        <v>1639</v>
      </c>
      <c r="D841" s="162">
        <v>3</v>
      </c>
      <c r="E841" s="216" t="s">
        <v>1640</v>
      </c>
      <c r="F841" s="166">
        <v>1262477</v>
      </c>
      <c r="G841" s="162" t="s">
        <v>43</v>
      </c>
      <c r="H841" s="162" t="s">
        <v>1638</v>
      </c>
      <c r="I841" s="9" t="s">
        <v>1819</v>
      </c>
    </row>
    <row r="842" spans="1:9" ht="63.75">
      <c r="A842" s="238">
        <v>840</v>
      </c>
      <c r="B842" s="216" t="s">
        <v>1603</v>
      </c>
      <c r="C842" s="162" t="s">
        <v>338</v>
      </c>
      <c r="D842" s="162">
        <v>7</v>
      </c>
      <c r="E842" s="216" t="s">
        <v>1641</v>
      </c>
      <c r="F842" s="166">
        <v>2621039000</v>
      </c>
      <c r="G842" s="162" t="s">
        <v>43</v>
      </c>
      <c r="H842" s="163" t="s">
        <v>47</v>
      </c>
      <c r="I842" s="9" t="s">
        <v>1819</v>
      </c>
    </row>
    <row r="843" spans="1:9" ht="25.5">
      <c r="A843" s="238">
        <v>841</v>
      </c>
      <c r="B843" s="216" t="s">
        <v>1603</v>
      </c>
      <c r="C843" s="162" t="s">
        <v>338</v>
      </c>
      <c r="D843" s="162">
        <v>9</v>
      </c>
      <c r="E843" s="216" t="s">
        <v>1642</v>
      </c>
      <c r="F843" s="166">
        <v>0</v>
      </c>
      <c r="G843" s="162" t="s">
        <v>43</v>
      </c>
      <c r="H843" s="163" t="s">
        <v>47</v>
      </c>
      <c r="I843" s="9" t="s">
        <v>1819</v>
      </c>
    </row>
    <row r="844" spans="1:9" ht="25.5">
      <c r="A844" s="238">
        <v>842</v>
      </c>
      <c r="B844" s="216" t="s">
        <v>1603</v>
      </c>
      <c r="C844" s="162" t="s">
        <v>338</v>
      </c>
      <c r="D844" s="162">
        <v>10</v>
      </c>
      <c r="E844" s="216" t="s">
        <v>1643</v>
      </c>
      <c r="F844" s="166">
        <v>4000000000</v>
      </c>
      <c r="G844" s="162" t="s">
        <v>43</v>
      </c>
      <c r="H844" s="163" t="s">
        <v>47</v>
      </c>
      <c r="I844" s="9" t="s">
        <v>1819</v>
      </c>
    </row>
    <row r="845" spans="1:9" ht="38.25">
      <c r="A845" s="238">
        <v>843</v>
      </c>
      <c r="B845" s="216" t="s">
        <v>1603</v>
      </c>
      <c r="C845" s="162" t="s">
        <v>338</v>
      </c>
      <c r="D845" s="162">
        <v>2</v>
      </c>
      <c r="E845" s="216" t="s">
        <v>1644</v>
      </c>
      <c r="F845" s="166">
        <v>330025075</v>
      </c>
      <c r="G845" s="162" t="s">
        <v>11</v>
      </c>
      <c r="H845" s="162" t="s">
        <v>1638</v>
      </c>
      <c r="I845" s="9" t="s">
        <v>1819</v>
      </c>
    </row>
    <row r="846" spans="1:9" ht="51">
      <c r="A846" s="238">
        <v>844</v>
      </c>
      <c r="B846" s="216" t="s">
        <v>1603</v>
      </c>
      <c r="C846" s="162" t="s">
        <v>338</v>
      </c>
      <c r="D846" s="162">
        <v>6</v>
      </c>
      <c r="E846" s="216" t="s">
        <v>1645</v>
      </c>
      <c r="F846" s="166">
        <v>1031152000</v>
      </c>
      <c r="G846" s="162" t="s">
        <v>11</v>
      </c>
      <c r="H846" s="162" t="s">
        <v>1638</v>
      </c>
      <c r="I846" s="9" t="s">
        <v>1819</v>
      </c>
    </row>
    <row r="847" spans="1:9" ht="25.5">
      <c r="A847" s="238">
        <v>845</v>
      </c>
      <c r="B847" s="216" t="s">
        <v>1605</v>
      </c>
      <c r="C847" s="162" t="s">
        <v>1646</v>
      </c>
      <c r="D847" s="162">
        <v>12</v>
      </c>
      <c r="E847" s="216" t="s">
        <v>1647</v>
      </c>
      <c r="F847" s="166">
        <v>976000</v>
      </c>
      <c r="G847" s="162" t="s">
        <v>43</v>
      </c>
      <c r="H847" s="162" t="s">
        <v>12</v>
      </c>
      <c r="I847" s="9" t="s">
        <v>1819</v>
      </c>
    </row>
    <row r="848" spans="1:9" ht="25.5">
      <c r="A848" s="238">
        <v>846</v>
      </c>
      <c r="B848" s="216" t="s">
        <v>1605</v>
      </c>
      <c r="C848" s="162" t="s">
        <v>1646</v>
      </c>
      <c r="D848" s="162">
        <v>13</v>
      </c>
      <c r="E848" s="216" t="s">
        <v>1648</v>
      </c>
      <c r="F848" s="166" t="s">
        <v>1649</v>
      </c>
      <c r="G848" s="162" t="s">
        <v>43</v>
      </c>
      <c r="H848" s="162" t="s">
        <v>1638</v>
      </c>
      <c r="I848" s="9" t="s">
        <v>1819</v>
      </c>
    </row>
    <row r="849" spans="1:9" ht="63.75">
      <c r="A849" s="238">
        <v>847</v>
      </c>
      <c r="B849" s="216" t="s">
        <v>1605</v>
      </c>
      <c r="C849" s="162" t="s">
        <v>600</v>
      </c>
      <c r="D849" s="162">
        <v>8</v>
      </c>
      <c r="E849" s="216" t="s">
        <v>1650</v>
      </c>
      <c r="F849" s="166">
        <v>1985465</v>
      </c>
      <c r="G849" s="162" t="s">
        <v>43</v>
      </c>
      <c r="H849" s="162" t="s">
        <v>1638</v>
      </c>
      <c r="I849" s="9" t="s">
        <v>1819</v>
      </c>
    </row>
    <row r="850" spans="1:9" ht="38.25">
      <c r="A850" s="238">
        <v>848</v>
      </c>
      <c r="B850" s="216" t="s">
        <v>1605</v>
      </c>
      <c r="C850" s="162" t="s">
        <v>600</v>
      </c>
      <c r="D850" s="162">
        <v>9</v>
      </c>
      <c r="E850" s="216" t="s">
        <v>1651</v>
      </c>
      <c r="F850" s="166">
        <v>963356</v>
      </c>
      <c r="G850" s="162" t="s">
        <v>43</v>
      </c>
      <c r="H850" s="162" t="s">
        <v>12</v>
      </c>
      <c r="I850" s="9" t="s">
        <v>1819</v>
      </c>
    </row>
    <row r="851" spans="1:9" ht="89.25">
      <c r="A851" s="238">
        <v>849</v>
      </c>
      <c r="B851" s="216" t="s">
        <v>1605</v>
      </c>
      <c r="C851" s="162" t="s">
        <v>600</v>
      </c>
      <c r="D851" s="162">
        <v>10</v>
      </c>
      <c r="E851" s="216" t="s">
        <v>1652</v>
      </c>
      <c r="F851" s="166">
        <v>136357402</v>
      </c>
      <c r="G851" s="162" t="s">
        <v>43</v>
      </c>
      <c r="H851" s="162" t="s">
        <v>1638</v>
      </c>
      <c r="I851" s="9" t="s">
        <v>1819</v>
      </c>
    </row>
    <row r="852" spans="1:9" ht="63.75">
      <c r="A852" s="238">
        <v>850</v>
      </c>
      <c r="B852" s="216" t="s">
        <v>1605</v>
      </c>
      <c r="C852" s="162" t="s">
        <v>600</v>
      </c>
      <c r="D852" s="162">
        <v>11</v>
      </c>
      <c r="E852" s="216" t="s">
        <v>1653</v>
      </c>
      <c r="F852" s="166">
        <v>1931953</v>
      </c>
      <c r="G852" s="162" t="s">
        <v>43</v>
      </c>
      <c r="H852" s="162" t="s">
        <v>1638</v>
      </c>
      <c r="I852" s="9" t="s">
        <v>1819</v>
      </c>
    </row>
    <row r="853" spans="1:9" ht="51">
      <c r="A853" s="238">
        <v>851</v>
      </c>
      <c r="B853" s="216" t="s">
        <v>1605</v>
      </c>
      <c r="C853" s="162" t="s">
        <v>600</v>
      </c>
      <c r="D853" s="162">
        <v>4</v>
      </c>
      <c r="E853" s="216" t="s">
        <v>1654</v>
      </c>
      <c r="F853" s="166">
        <v>100487000</v>
      </c>
      <c r="G853" s="162" t="s">
        <v>11</v>
      </c>
      <c r="H853" s="162" t="s">
        <v>12</v>
      </c>
      <c r="I853" s="9" t="s">
        <v>1819</v>
      </c>
    </row>
    <row r="854" spans="1:9" ht="63.75">
      <c r="A854" s="238">
        <v>852</v>
      </c>
      <c r="B854" s="216" t="s">
        <v>1605</v>
      </c>
      <c r="C854" s="162" t="s">
        <v>600</v>
      </c>
      <c r="D854" s="162">
        <v>5</v>
      </c>
      <c r="E854" s="216" t="s">
        <v>1655</v>
      </c>
      <c r="F854" s="166">
        <v>283222975.88999999</v>
      </c>
      <c r="G854" s="162" t="s">
        <v>11</v>
      </c>
      <c r="H854" s="162" t="s">
        <v>12</v>
      </c>
      <c r="I854" s="9" t="s">
        <v>1819</v>
      </c>
    </row>
    <row r="855" spans="1:9" ht="25.5">
      <c r="A855" s="238">
        <v>853</v>
      </c>
      <c r="B855" s="216" t="s">
        <v>1606</v>
      </c>
      <c r="C855" s="162" t="s">
        <v>111</v>
      </c>
      <c r="D855" s="162">
        <v>2.0099999999999998</v>
      </c>
      <c r="E855" s="216" t="s">
        <v>1656</v>
      </c>
      <c r="F855" s="166">
        <v>72506</v>
      </c>
      <c r="G855" s="162" t="s">
        <v>11</v>
      </c>
      <c r="H855" s="163" t="s">
        <v>47</v>
      </c>
      <c r="I855" s="9" t="s">
        <v>1819</v>
      </c>
    </row>
    <row r="856" spans="1:9" ht="38.25">
      <c r="A856" s="238">
        <v>854</v>
      </c>
      <c r="B856" s="216" t="s">
        <v>1606</v>
      </c>
      <c r="C856" s="162" t="s">
        <v>111</v>
      </c>
      <c r="D856" s="162">
        <v>2.02</v>
      </c>
      <c r="E856" s="216" t="s">
        <v>1657</v>
      </c>
      <c r="F856" s="166">
        <v>594881</v>
      </c>
      <c r="G856" s="162" t="s">
        <v>11</v>
      </c>
      <c r="H856" s="162" t="s">
        <v>1638</v>
      </c>
      <c r="I856" s="9" t="s">
        <v>1819</v>
      </c>
    </row>
    <row r="857" spans="1:9" ht="38.25">
      <c r="A857" s="238">
        <v>855</v>
      </c>
      <c r="B857" s="216" t="s">
        <v>1606</v>
      </c>
      <c r="C857" s="162" t="s">
        <v>111</v>
      </c>
      <c r="D857" s="162">
        <v>2.0299999999999998</v>
      </c>
      <c r="E857" s="216" t="s">
        <v>1658</v>
      </c>
      <c r="F857" s="166">
        <v>6712834</v>
      </c>
      <c r="G857" s="162" t="s">
        <v>11</v>
      </c>
      <c r="H857" s="162" t="s">
        <v>12</v>
      </c>
      <c r="I857" s="9" t="s">
        <v>1819</v>
      </c>
    </row>
    <row r="858" spans="1:9" ht="25.5">
      <c r="A858" s="238">
        <v>856</v>
      </c>
      <c r="B858" s="216" t="s">
        <v>1606</v>
      </c>
      <c r="C858" s="162" t="s">
        <v>137</v>
      </c>
      <c r="D858" s="162">
        <v>2.0099999999999998</v>
      </c>
      <c r="E858" s="216" t="s">
        <v>1659</v>
      </c>
      <c r="F858" s="166">
        <v>17181000</v>
      </c>
      <c r="G858" s="162" t="s">
        <v>11</v>
      </c>
      <c r="H858" s="165" t="s">
        <v>47</v>
      </c>
      <c r="I858" s="9" t="s">
        <v>1819</v>
      </c>
    </row>
    <row r="859" spans="1:9" ht="38.25">
      <c r="A859" s="238">
        <v>857</v>
      </c>
      <c r="B859" s="216" t="s">
        <v>1607</v>
      </c>
      <c r="C859" s="162" t="s">
        <v>280</v>
      </c>
      <c r="D859" s="162">
        <v>2.0099999999999998</v>
      </c>
      <c r="E859" s="216" t="s">
        <v>1660</v>
      </c>
      <c r="F859" s="166">
        <v>48000</v>
      </c>
      <c r="G859" s="162" t="s">
        <v>11</v>
      </c>
      <c r="H859" s="162" t="s">
        <v>12</v>
      </c>
      <c r="I859" s="9" t="s">
        <v>1819</v>
      </c>
    </row>
    <row r="860" spans="1:9" ht="38.25">
      <c r="A860" s="238">
        <v>858</v>
      </c>
      <c r="B860" s="216" t="s">
        <v>1607</v>
      </c>
      <c r="C860" s="162" t="s">
        <v>280</v>
      </c>
      <c r="D860" s="162">
        <v>2.04</v>
      </c>
      <c r="E860" s="216" t="s">
        <v>1661</v>
      </c>
      <c r="F860" s="166">
        <v>184665</v>
      </c>
      <c r="G860" s="162" t="s">
        <v>11</v>
      </c>
      <c r="H860" s="162" t="s">
        <v>12</v>
      </c>
      <c r="I860" s="9" t="s">
        <v>1819</v>
      </c>
    </row>
    <row r="861" spans="1:9" ht="51">
      <c r="A861" s="238">
        <v>859</v>
      </c>
      <c r="B861" s="216" t="s">
        <v>1607</v>
      </c>
      <c r="C861" s="162" t="s">
        <v>102</v>
      </c>
      <c r="D861" s="162">
        <v>2</v>
      </c>
      <c r="E861" s="216" t="s">
        <v>1662</v>
      </c>
      <c r="F861" s="166">
        <v>110000</v>
      </c>
      <c r="G861" s="162" t="s">
        <v>11</v>
      </c>
      <c r="H861" s="162" t="s">
        <v>19</v>
      </c>
      <c r="I861" s="9" t="s">
        <v>1819</v>
      </c>
    </row>
    <row r="862" spans="1:9" ht="76.5">
      <c r="A862" s="238">
        <v>860</v>
      </c>
      <c r="B862" s="216" t="s">
        <v>1607</v>
      </c>
      <c r="C862" s="162" t="s">
        <v>102</v>
      </c>
      <c r="D862" s="162">
        <v>3</v>
      </c>
      <c r="E862" s="216" t="s">
        <v>1663</v>
      </c>
      <c r="F862" s="166">
        <v>30000</v>
      </c>
      <c r="G862" s="162" t="s">
        <v>11</v>
      </c>
      <c r="H862" s="162" t="s">
        <v>12</v>
      </c>
      <c r="I862" s="9" t="s">
        <v>1819</v>
      </c>
    </row>
    <row r="863" spans="1:9" ht="38.25">
      <c r="A863" s="238">
        <v>861</v>
      </c>
      <c r="B863" s="216" t="s">
        <v>1607</v>
      </c>
      <c r="C863" s="162" t="s">
        <v>102</v>
      </c>
      <c r="D863" s="162">
        <v>4</v>
      </c>
      <c r="E863" s="216" t="s">
        <v>1664</v>
      </c>
      <c r="F863" s="166">
        <v>7701180</v>
      </c>
      <c r="G863" s="162" t="s">
        <v>11</v>
      </c>
      <c r="H863" s="162" t="s">
        <v>1665</v>
      </c>
      <c r="I863" s="9" t="s">
        <v>1819</v>
      </c>
    </row>
    <row r="864" spans="1:9" ht="63.75">
      <c r="A864" s="238">
        <v>862</v>
      </c>
      <c r="B864" s="216" t="s">
        <v>1607</v>
      </c>
      <c r="C864" s="162" t="s">
        <v>102</v>
      </c>
      <c r="D864" s="162">
        <v>5</v>
      </c>
      <c r="E864" s="216" t="s">
        <v>1666</v>
      </c>
      <c r="F864" s="166">
        <v>2638138</v>
      </c>
      <c r="G864" s="162" t="s">
        <v>11</v>
      </c>
      <c r="H864" s="162" t="s">
        <v>12</v>
      </c>
      <c r="I864" s="9" t="s">
        <v>1819</v>
      </c>
    </row>
    <row r="865" spans="1:9" ht="51">
      <c r="A865" s="238">
        <v>863</v>
      </c>
      <c r="B865" s="216" t="s">
        <v>1607</v>
      </c>
      <c r="C865" s="162" t="s">
        <v>104</v>
      </c>
      <c r="D865" s="162">
        <v>2.0099999999999998</v>
      </c>
      <c r="E865" s="216" t="s">
        <v>1667</v>
      </c>
      <c r="F865" s="166">
        <v>104483</v>
      </c>
      <c r="G865" s="162" t="s">
        <v>11</v>
      </c>
      <c r="H865" s="162" t="s">
        <v>1638</v>
      </c>
      <c r="I865" s="9" t="s">
        <v>1819</v>
      </c>
    </row>
    <row r="866" spans="1:9" ht="51">
      <c r="A866" s="238">
        <v>864</v>
      </c>
      <c r="B866" s="216" t="s">
        <v>1607</v>
      </c>
      <c r="C866" s="162" t="s">
        <v>600</v>
      </c>
      <c r="D866" s="162">
        <v>1</v>
      </c>
      <c r="E866" s="216" t="s">
        <v>1668</v>
      </c>
      <c r="F866" s="166">
        <v>1049974</v>
      </c>
      <c r="G866" s="162" t="s">
        <v>43</v>
      </c>
      <c r="H866" s="162" t="s">
        <v>1638</v>
      </c>
      <c r="I866" s="9" t="s">
        <v>1819</v>
      </c>
    </row>
    <row r="867" spans="1:9" ht="38.25">
      <c r="A867" s="238">
        <v>865</v>
      </c>
      <c r="B867" s="216" t="s">
        <v>1607</v>
      </c>
      <c r="C867" s="162" t="s">
        <v>600</v>
      </c>
      <c r="D867" s="162">
        <v>2</v>
      </c>
      <c r="E867" s="216" t="s">
        <v>1669</v>
      </c>
      <c r="F867" s="166">
        <v>1381395</v>
      </c>
      <c r="G867" s="162" t="s">
        <v>43</v>
      </c>
      <c r="H867" s="162" t="s">
        <v>12</v>
      </c>
      <c r="I867" s="9" t="s">
        <v>1819</v>
      </c>
    </row>
    <row r="868" spans="1:9" ht="51">
      <c r="A868" s="238">
        <v>866</v>
      </c>
      <c r="B868" s="216" t="s">
        <v>1608</v>
      </c>
      <c r="C868" s="162" t="s">
        <v>135</v>
      </c>
      <c r="D868" s="162">
        <v>2.0099999999999998</v>
      </c>
      <c r="E868" s="216" t="s">
        <v>1670</v>
      </c>
      <c r="F868" s="166">
        <v>192500000</v>
      </c>
      <c r="G868" s="162" t="s">
        <v>11</v>
      </c>
      <c r="H868" s="162" t="s">
        <v>12</v>
      </c>
      <c r="I868" s="9" t="s">
        <v>1819</v>
      </c>
    </row>
    <row r="869" spans="1:9" ht="51">
      <c r="A869" s="238">
        <v>867</v>
      </c>
      <c r="B869" s="216" t="s">
        <v>1608</v>
      </c>
      <c r="C869" s="162" t="s">
        <v>135</v>
      </c>
      <c r="D869" s="162">
        <v>2.02</v>
      </c>
      <c r="E869" s="216" t="s">
        <v>1671</v>
      </c>
      <c r="F869" s="166">
        <v>13509066</v>
      </c>
      <c r="G869" s="162" t="s">
        <v>11</v>
      </c>
      <c r="H869" s="162" t="s">
        <v>1638</v>
      </c>
      <c r="I869" s="9" t="s">
        <v>1819</v>
      </c>
    </row>
    <row r="870" spans="1:9" ht="38.25">
      <c r="A870" s="238">
        <v>868</v>
      </c>
      <c r="B870" s="216" t="s">
        <v>1608</v>
      </c>
      <c r="C870" s="162" t="s">
        <v>537</v>
      </c>
      <c r="D870" s="162">
        <v>2.0099999999999998</v>
      </c>
      <c r="E870" s="216" t="s">
        <v>1672</v>
      </c>
      <c r="F870" s="166">
        <v>9791086</v>
      </c>
      <c r="G870" s="162" t="s">
        <v>11</v>
      </c>
      <c r="H870" s="162" t="s">
        <v>12</v>
      </c>
      <c r="I870" s="9" t="s">
        <v>1819</v>
      </c>
    </row>
    <row r="871" spans="1:9" ht="51">
      <c r="A871" s="238">
        <v>869</v>
      </c>
      <c r="B871" s="216" t="s">
        <v>1608</v>
      </c>
      <c r="C871" s="162" t="s">
        <v>537</v>
      </c>
      <c r="D871" s="162">
        <v>2.0299999999999998</v>
      </c>
      <c r="E871" s="216" t="s">
        <v>1673</v>
      </c>
      <c r="F871" s="166">
        <v>134113</v>
      </c>
      <c r="G871" s="162" t="s">
        <v>11</v>
      </c>
      <c r="H871" s="163" t="s">
        <v>47</v>
      </c>
      <c r="I871" s="9" t="s">
        <v>1819</v>
      </c>
    </row>
    <row r="872" spans="1:9" ht="51">
      <c r="A872" s="238">
        <v>870</v>
      </c>
      <c r="B872" s="216" t="s">
        <v>1608</v>
      </c>
      <c r="C872" s="162" t="s">
        <v>537</v>
      </c>
      <c r="D872" s="162">
        <v>2.04</v>
      </c>
      <c r="E872" s="216" t="s">
        <v>1674</v>
      </c>
      <c r="F872" s="166">
        <v>842400</v>
      </c>
      <c r="G872" s="162" t="s">
        <v>11</v>
      </c>
      <c r="H872" s="162" t="s">
        <v>12</v>
      </c>
      <c r="I872" s="9" t="s">
        <v>1819</v>
      </c>
    </row>
    <row r="873" spans="1:9" ht="38.25">
      <c r="A873" s="238">
        <v>871</v>
      </c>
      <c r="B873" s="216" t="s">
        <v>1608</v>
      </c>
      <c r="C873" s="162" t="s">
        <v>102</v>
      </c>
      <c r="D873" s="162">
        <v>2.06</v>
      </c>
      <c r="E873" s="216" t="s">
        <v>1675</v>
      </c>
      <c r="F873" s="166">
        <v>16633</v>
      </c>
      <c r="G873" s="162" t="s">
        <v>11</v>
      </c>
      <c r="H873" s="163" t="s">
        <v>47</v>
      </c>
      <c r="I873" s="9" t="s">
        <v>1819</v>
      </c>
    </row>
    <row r="874" spans="1:9" ht="38.25">
      <c r="A874" s="238">
        <v>872</v>
      </c>
      <c r="B874" s="216" t="s">
        <v>1608</v>
      </c>
      <c r="C874" s="162" t="s">
        <v>102</v>
      </c>
      <c r="D874" s="162">
        <v>2.08</v>
      </c>
      <c r="E874" s="216" t="s">
        <v>1676</v>
      </c>
      <c r="F874" s="166">
        <v>134199000</v>
      </c>
      <c r="G874" s="162" t="s">
        <v>11</v>
      </c>
      <c r="H874" s="163" t="s">
        <v>47</v>
      </c>
      <c r="I874" s="9" t="s">
        <v>1819</v>
      </c>
    </row>
    <row r="875" spans="1:9" ht="38.25">
      <c r="A875" s="238">
        <v>873</v>
      </c>
      <c r="B875" s="216" t="s">
        <v>1608</v>
      </c>
      <c r="C875" s="162" t="s">
        <v>69</v>
      </c>
      <c r="D875" s="162">
        <v>2.0099999999999998</v>
      </c>
      <c r="E875" s="216" t="s">
        <v>1677</v>
      </c>
      <c r="F875" s="166">
        <v>2206423</v>
      </c>
      <c r="G875" s="162" t="s">
        <v>11</v>
      </c>
      <c r="H875" s="162" t="s">
        <v>12</v>
      </c>
      <c r="I875" s="9" t="s">
        <v>1819</v>
      </c>
    </row>
    <row r="876" spans="1:9" ht="38.25">
      <c r="A876" s="238">
        <v>874</v>
      </c>
      <c r="B876" s="216" t="s">
        <v>1608</v>
      </c>
      <c r="C876" s="162" t="s">
        <v>69</v>
      </c>
      <c r="D876" s="162">
        <v>2.02</v>
      </c>
      <c r="E876" s="216" t="s">
        <v>1678</v>
      </c>
      <c r="F876" s="166">
        <v>23795190</v>
      </c>
      <c r="G876" s="162" t="s">
        <v>11</v>
      </c>
      <c r="H876" s="163" t="s">
        <v>47</v>
      </c>
      <c r="I876" s="9" t="s">
        <v>1819</v>
      </c>
    </row>
    <row r="877" spans="1:9" ht="51">
      <c r="A877" s="238">
        <v>875</v>
      </c>
      <c r="B877" s="216" t="s">
        <v>1679</v>
      </c>
      <c r="C877" s="162" t="s">
        <v>80</v>
      </c>
      <c r="D877" s="162">
        <v>4</v>
      </c>
      <c r="E877" s="216" t="s">
        <v>1680</v>
      </c>
      <c r="F877" s="166">
        <v>2283435</v>
      </c>
      <c r="G877" s="162" t="s">
        <v>43</v>
      </c>
      <c r="H877" s="162" t="s">
        <v>12</v>
      </c>
      <c r="I877" s="9" t="s">
        <v>1819</v>
      </c>
    </row>
    <row r="878" spans="1:9" ht="38.25">
      <c r="A878" s="238">
        <v>876</v>
      </c>
      <c r="B878" s="216" t="s">
        <v>1679</v>
      </c>
      <c r="C878" s="162" t="s">
        <v>80</v>
      </c>
      <c r="D878" s="162">
        <v>6</v>
      </c>
      <c r="E878" s="216" t="s">
        <v>1681</v>
      </c>
      <c r="F878" s="166">
        <v>100000</v>
      </c>
      <c r="G878" s="162" t="s">
        <v>43</v>
      </c>
      <c r="H878" s="162" t="s">
        <v>19</v>
      </c>
      <c r="I878" s="9" t="s">
        <v>1819</v>
      </c>
    </row>
    <row r="879" spans="1:9" ht="51">
      <c r="A879" s="238">
        <v>877</v>
      </c>
      <c r="B879" s="216" t="s">
        <v>1679</v>
      </c>
      <c r="C879" s="162" t="s">
        <v>338</v>
      </c>
      <c r="D879" s="162" t="s">
        <v>1682</v>
      </c>
      <c r="E879" s="216" t="s">
        <v>1683</v>
      </c>
      <c r="F879" s="166">
        <v>83908622.540000007</v>
      </c>
      <c r="G879" s="162" t="s">
        <v>43</v>
      </c>
      <c r="H879" s="162" t="s">
        <v>1638</v>
      </c>
      <c r="I879" s="9" t="s">
        <v>1819</v>
      </c>
    </row>
    <row r="880" spans="1:9" ht="38.25">
      <c r="A880" s="238">
        <v>878</v>
      </c>
      <c r="B880" s="216" t="s">
        <v>1679</v>
      </c>
      <c r="C880" s="162" t="s">
        <v>1684</v>
      </c>
      <c r="D880" s="164">
        <v>1</v>
      </c>
      <c r="E880" s="218" t="s">
        <v>1685</v>
      </c>
      <c r="F880" s="197">
        <v>101230000</v>
      </c>
      <c r="G880" s="164" t="s">
        <v>11</v>
      </c>
      <c r="H880" s="162" t="s">
        <v>1638</v>
      </c>
      <c r="I880" s="9" t="s">
        <v>1819</v>
      </c>
    </row>
    <row r="881" spans="1:9" ht="51">
      <c r="A881" s="238">
        <v>879</v>
      </c>
      <c r="B881" s="216" t="s">
        <v>1679</v>
      </c>
      <c r="C881" s="162" t="s">
        <v>1684</v>
      </c>
      <c r="D881" s="164">
        <v>2</v>
      </c>
      <c r="E881" s="218" t="s">
        <v>1686</v>
      </c>
      <c r="F881" s="197">
        <v>2812047</v>
      </c>
      <c r="G881" s="164" t="s">
        <v>11</v>
      </c>
      <c r="H881" s="162" t="s">
        <v>1665</v>
      </c>
      <c r="I881" s="9" t="s">
        <v>1819</v>
      </c>
    </row>
    <row r="882" spans="1:9" ht="38.25">
      <c r="A882" s="238">
        <v>880</v>
      </c>
      <c r="B882" s="216" t="s">
        <v>1679</v>
      </c>
      <c r="C882" s="162" t="s">
        <v>1684</v>
      </c>
      <c r="D882" s="164">
        <v>5</v>
      </c>
      <c r="E882" s="218" t="s">
        <v>1687</v>
      </c>
      <c r="F882" s="197">
        <v>2564820</v>
      </c>
      <c r="G882" s="164" t="s">
        <v>11</v>
      </c>
      <c r="H882" s="162" t="s">
        <v>1665</v>
      </c>
      <c r="I882" s="9" t="s">
        <v>1819</v>
      </c>
    </row>
    <row r="883" spans="1:9" ht="51">
      <c r="A883" s="238">
        <v>881</v>
      </c>
      <c r="B883" s="216" t="s">
        <v>1610</v>
      </c>
      <c r="C883" s="162" t="s">
        <v>102</v>
      </c>
      <c r="D883" s="162">
        <v>1</v>
      </c>
      <c r="E883" s="216" t="s">
        <v>1688</v>
      </c>
      <c r="F883" s="166">
        <v>2494800</v>
      </c>
      <c r="G883" s="162" t="s">
        <v>11</v>
      </c>
      <c r="H883" s="162" t="s">
        <v>19</v>
      </c>
      <c r="I883" s="9" t="s">
        <v>1819</v>
      </c>
    </row>
    <row r="884" spans="1:9" ht="25.5">
      <c r="A884" s="238">
        <v>882</v>
      </c>
      <c r="B884" s="216" t="s">
        <v>1610</v>
      </c>
      <c r="C884" s="162" t="s">
        <v>102</v>
      </c>
      <c r="D884" s="162">
        <v>2</v>
      </c>
      <c r="E884" s="216" t="s">
        <v>1689</v>
      </c>
      <c r="F884" s="166">
        <v>2000000</v>
      </c>
      <c r="G884" s="162" t="s">
        <v>11</v>
      </c>
      <c r="H884" s="162" t="s">
        <v>1004</v>
      </c>
      <c r="I884" s="9" t="s">
        <v>1819</v>
      </c>
    </row>
    <row r="885" spans="1:9" ht="38.25">
      <c r="A885" s="238">
        <v>883</v>
      </c>
      <c r="B885" s="216" t="s">
        <v>1611</v>
      </c>
      <c r="C885" s="162" t="s">
        <v>1646</v>
      </c>
      <c r="D885" s="162">
        <v>1</v>
      </c>
      <c r="E885" s="216" t="s">
        <v>1690</v>
      </c>
      <c r="F885" s="166">
        <v>19732324</v>
      </c>
      <c r="G885" s="162" t="s">
        <v>11</v>
      </c>
      <c r="H885" s="162" t="s">
        <v>1638</v>
      </c>
      <c r="I885" s="9" t="s">
        <v>1819</v>
      </c>
    </row>
    <row r="886" spans="1:9" ht="25.5">
      <c r="A886" s="238">
        <v>884</v>
      </c>
      <c r="B886" s="216" t="s">
        <v>1612</v>
      </c>
      <c r="C886" s="162" t="s">
        <v>462</v>
      </c>
      <c r="D886" s="162">
        <v>1</v>
      </c>
      <c r="E886" s="216" t="s">
        <v>1691</v>
      </c>
      <c r="F886" s="166">
        <v>3667275</v>
      </c>
      <c r="G886" s="162" t="s">
        <v>43</v>
      </c>
      <c r="H886" s="162" t="s">
        <v>12</v>
      </c>
      <c r="I886" s="9" t="s">
        <v>1819</v>
      </c>
    </row>
    <row r="887" spans="1:9" ht="25.5">
      <c r="A887" s="238">
        <v>885</v>
      </c>
      <c r="B887" s="216" t="s">
        <v>1612</v>
      </c>
      <c r="C887" s="162" t="s">
        <v>462</v>
      </c>
      <c r="D887" s="162">
        <v>3</v>
      </c>
      <c r="E887" s="216" t="s">
        <v>1692</v>
      </c>
      <c r="F887" s="166">
        <v>1485144</v>
      </c>
      <c r="G887" s="162" t="s">
        <v>43</v>
      </c>
      <c r="H887" s="162" t="s">
        <v>12</v>
      </c>
      <c r="I887" s="9" t="s">
        <v>1819</v>
      </c>
    </row>
    <row r="888" spans="1:9" ht="51">
      <c r="A888" s="238">
        <v>886</v>
      </c>
      <c r="B888" s="216" t="s">
        <v>1612</v>
      </c>
      <c r="C888" s="162" t="s">
        <v>1646</v>
      </c>
      <c r="D888" s="162">
        <v>3</v>
      </c>
      <c r="E888" s="216" t="s">
        <v>1693</v>
      </c>
      <c r="F888" s="166">
        <v>2990014</v>
      </c>
      <c r="G888" s="162" t="s">
        <v>43</v>
      </c>
      <c r="H888" s="162" t="s">
        <v>1638</v>
      </c>
      <c r="I888" s="9" t="s">
        <v>1819</v>
      </c>
    </row>
    <row r="889" spans="1:9" ht="51">
      <c r="A889" s="238">
        <v>887</v>
      </c>
      <c r="B889" s="216" t="s">
        <v>1612</v>
      </c>
      <c r="C889" s="162" t="s">
        <v>1646</v>
      </c>
      <c r="D889" s="162">
        <v>6</v>
      </c>
      <c r="E889" s="216" t="s">
        <v>1694</v>
      </c>
      <c r="F889" s="166">
        <v>928233</v>
      </c>
      <c r="G889" s="162" t="s">
        <v>43</v>
      </c>
      <c r="H889" s="162" t="s">
        <v>1638</v>
      </c>
      <c r="I889" s="9" t="s">
        <v>1819</v>
      </c>
    </row>
    <row r="890" spans="1:9" ht="38.25">
      <c r="A890" s="238">
        <v>888</v>
      </c>
      <c r="B890" s="216" t="s">
        <v>1612</v>
      </c>
      <c r="C890" s="162" t="s">
        <v>1646</v>
      </c>
      <c r="D890" s="162">
        <v>1</v>
      </c>
      <c r="E890" s="216" t="s">
        <v>1695</v>
      </c>
      <c r="F890" s="166">
        <v>920500</v>
      </c>
      <c r="G890" s="162" t="s">
        <v>11</v>
      </c>
      <c r="H890" s="162" t="s">
        <v>1638</v>
      </c>
      <c r="I890" s="9" t="s">
        <v>1819</v>
      </c>
    </row>
    <row r="891" spans="1:9" ht="38.25">
      <c r="A891" s="238">
        <v>889</v>
      </c>
      <c r="B891" s="216" t="s">
        <v>1612</v>
      </c>
      <c r="C891" s="162" t="s">
        <v>1646</v>
      </c>
      <c r="D891" s="162">
        <v>2</v>
      </c>
      <c r="E891" s="216" t="s">
        <v>1696</v>
      </c>
      <c r="F891" s="166">
        <v>1172063</v>
      </c>
      <c r="G891" s="162" t="s">
        <v>11</v>
      </c>
      <c r="H891" s="162" t="s">
        <v>1638</v>
      </c>
      <c r="I891" s="9" t="s">
        <v>1819</v>
      </c>
    </row>
    <row r="892" spans="1:9" ht="76.5">
      <c r="A892" s="238">
        <v>890</v>
      </c>
      <c r="B892" s="216" t="s">
        <v>1613</v>
      </c>
      <c r="C892" s="162" t="s">
        <v>1697</v>
      </c>
      <c r="D892" s="162">
        <v>1</v>
      </c>
      <c r="E892" s="216" t="s">
        <v>1698</v>
      </c>
      <c r="F892" s="198">
        <v>12975475000</v>
      </c>
      <c r="G892" s="162" t="s">
        <v>11</v>
      </c>
      <c r="H892" s="163" t="s">
        <v>47</v>
      </c>
      <c r="I892" s="9" t="s">
        <v>1819</v>
      </c>
    </row>
    <row r="893" spans="1:9" ht="89.25">
      <c r="A893" s="238">
        <v>891</v>
      </c>
      <c r="B893" s="216" t="s">
        <v>1613</v>
      </c>
      <c r="C893" s="162" t="s">
        <v>1697</v>
      </c>
      <c r="D893" s="162">
        <v>2</v>
      </c>
      <c r="E893" s="216" t="s">
        <v>1699</v>
      </c>
      <c r="F893" s="166">
        <v>81238760</v>
      </c>
      <c r="G893" s="162" t="s">
        <v>11</v>
      </c>
      <c r="H893" s="163" t="s">
        <v>47</v>
      </c>
      <c r="I893" s="9" t="s">
        <v>1819</v>
      </c>
    </row>
    <row r="894" spans="1:9" ht="102">
      <c r="A894" s="238">
        <v>892</v>
      </c>
      <c r="B894" s="216" t="s">
        <v>1613</v>
      </c>
      <c r="C894" s="162" t="s">
        <v>1697</v>
      </c>
      <c r="D894" s="162">
        <v>3</v>
      </c>
      <c r="E894" s="216" t="s">
        <v>1700</v>
      </c>
      <c r="F894" s="166">
        <v>86979466.879999995</v>
      </c>
      <c r="G894" s="162" t="s">
        <v>11</v>
      </c>
      <c r="H894" s="162" t="s">
        <v>12</v>
      </c>
      <c r="I894" s="9" t="s">
        <v>1819</v>
      </c>
    </row>
    <row r="895" spans="1:9" ht="89.25">
      <c r="A895" s="238">
        <v>893</v>
      </c>
      <c r="B895" s="216" t="s">
        <v>1613</v>
      </c>
      <c r="C895" s="162" t="s">
        <v>1697</v>
      </c>
      <c r="D895" s="162">
        <v>4</v>
      </c>
      <c r="E895" s="216" t="s">
        <v>1701</v>
      </c>
      <c r="F895" s="166">
        <v>5726256.75</v>
      </c>
      <c r="G895" s="162" t="s">
        <v>11</v>
      </c>
      <c r="H895" s="162" t="s">
        <v>12</v>
      </c>
      <c r="I895" s="9" t="s">
        <v>1819</v>
      </c>
    </row>
    <row r="896" spans="1:9" ht="89.25">
      <c r="A896" s="238">
        <v>894</v>
      </c>
      <c r="B896" s="216" t="s">
        <v>1613</v>
      </c>
      <c r="C896" s="162" t="s">
        <v>1697</v>
      </c>
      <c r="D896" s="162">
        <v>5</v>
      </c>
      <c r="E896" s="216" t="s">
        <v>1702</v>
      </c>
      <c r="F896" s="166">
        <v>15722552.199999999</v>
      </c>
      <c r="G896" s="162" t="s">
        <v>11</v>
      </c>
      <c r="H896" s="163" t="s">
        <v>1105</v>
      </c>
      <c r="I896" s="9" t="s">
        <v>1819</v>
      </c>
    </row>
    <row r="897" spans="1:9" ht="76.5">
      <c r="A897" s="238">
        <v>895</v>
      </c>
      <c r="B897" s="216" t="s">
        <v>1613</v>
      </c>
      <c r="C897" s="162" t="s">
        <v>1697</v>
      </c>
      <c r="D897" s="162">
        <v>6</v>
      </c>
      <c r="E897" s="216" t="s">
        <v>1703</v>
      </c>
      <c r="F897" s="166">
        <v>1722434990</v>
      </c>
      <c r="G897" s="162" t="s">
        <v>11</v>
      </c>
      <c r="H897" s="162" t="s">
        <v>12</v>
      </c>
      <c r="I897" s="9" t="s">
        <v>1819</v>
      </c>
    </row>
    <row r="898" spans="1:9" ht="76.5">
      <c r="A898" s="238">
        <v>896</v>
      </c>
      <c r="B898" s="216" t="s">
        <v>1613</v>
      </c>
      <c r="C898" s="162" t="s">
        <v>1697</v>
      </c>
      <c r="D898" s="162">
        <v>9</v>
      </c>
      <c r="E898" s="216" t="s">
        <v>1704</v>
      </c>
      <c r="F898" s="166">
        <v>2478235</v>
      </c>
      <c r="G898" s="162" t="s">
        <v>11</v>
      </c>
      <c r="H898" s="162" t="s">
        <v>1638</v>
      </c>
      <c r="I898" s="9" t="s">
        <v>1819</v>
      </c>
    </row>
    <row r="899" spans="1:9" ht="38.25">
      <c r="A899" s="238">
        <v>897</v>
      </c>
      <c r="B899" s="216" t="s">
        <v>1613</v>
      </c>
      <c r="C899" s="162" t="s">
        <v>1697</v>
      </c>
      <c r="D899" s="162">
        <v>11</v>
      </c>
      <c r="E899" s="216" t="s">
        <v>1705</v>
      </c>
      <c r="F899" s="166">
        <v>556020</v>
      </c>
      <c r="G899" s="162" t="s">
        <v>11</v>
      </c>
      <c r="H899" s="162" t="s">
        <v>12</v>
      </c>
      <c r="I899" s="9" t="s">
        <v>1819</v>
      </c>
    </row>
    <row r="900" spans="1:9" ht="76.5">
      <c r="A900" s="238">
        <v>898</v>
      </c>
      <c r="B900" s="216" t="s">
        <v>1613</v>
      </c>
      <c r="C900" s="162" t="s">
        <v>1697</v>
      </c>
      <c r="D900" s="162">
        <v>12</v>
      </c>
      <c r="E900" s="216" t="s">
        <v>1706</v>
      </c>
      <c r="F900" s="166">
        <v>7445699</v>
      </c>
      <c r="G900" s="162" t="s">
        <v>11</v>
      </c>
      <c r="H900" s="162" t="s">
        <v>12</v>
      </c>
      <c r="I900" s="9" t="s">
        <v>1819</v>
      </c>
    </row>
    <row r="901" spans="1:9" ht="51">
      <c r="A901" s="238">
        <v>899</v>
      </c>
      <c r="B901" s="216" t="s">
        <v>1707</v>
      </c>
      <c r="C901" s="162" t="s">
        <v>269</v>
      </c>
      <c r="D901" s="162">
        <v>1</v>
      </c>
      <c r="E901" s="216" t="s">
        <v>1708</v>
      </c>
      <c r="F901" s="166">
        <v>22587941</v>
      </c>
      <c r="G901" s="162" t="s">
        <v>11</v>
      </c>
      <c r="H901" s="162" t="s">
        <v>12</v>
      </c>
      <c r="I901" s="9" t="s">
        <v>1819</v>
      </c>
    </row>
    <row r="902" spans="1:9" ht="38.25">
      <c r="A902" s="238">
        <v>900</v>
      </c>
      <c r="B902" s="216" t="s">
        <v>1707</v>
      </c>
      <c r="C902" s="162" t="s">
        <v>269</v>
      </c>
      <c r="D902" s="162">
        <v>2</v>
      </c>
      <c r="E902" s="216" t="s">
        <v>1709</v>
      </c>
      <c r="F902" s="166">
        <v>100274987</v>
      </c>
      <c r="G902" s="162" t="s">
        <v>11</v>
      </c>
      <c r="H902" s="162" t="s">
        <v>1638</v>
      </c>
      <c r="I902" s="9" t="s">
        <v>1819</v>
      </c>
    </row>
    <row r="903" spans="1:9" ht="38.25">
      <c r="A903" s="238">
        <v>901</v>
      </c>
      <c r="B903" s="216" t="s">
        <v>1615</v>
      </c>
      <c r="C903" s="162" t="s">
        <v>178</v>
      </c>
      <c r="D903" s="162">
        <v>2.0099999999999998</v>
      </c>
      <c r="E903" s="216" t="s">
        <v>1710</v>
      </c>
      <c r="F903" s="166">
        <v>39285000</v>
      </c>
      <c r="G903" s="162" t="s">
        <v>43</v>
      </c>
      <c r="H903" s="162" t="s">
        <v>12</v>
      </c>
      <c r="I903" s="9" t="s">
        <v>1819</v>
      </c>
    </row>
    <row r="904" spans="1:9" ht="25.5">
      <c r="A904" s="238">
        <v>902</v>
      </c>
      <c r="B904" s="216" t="s">
        <v>1615</v>
      </c>
      <c r="C904" s="162" t="s">
        <v>317</v>
      </c>
      <c r="D904" s="162">
        <v>1</v>
      </c>
      <c r="E904" s="216" t="s">
        <v>1711</v>
      </c>
      <c r="F904" s="166">
        <v>0</v>
      </c>
      <c r="G904" s="162" t="s">
        <v>11</v>
      </c>
      <c r="H904" s="163" t="s">
        <v>1105</v>
      </c>
      <c r="I904" s="9" t="s">
        <v>1819</v>
      </c>
    </row>
    <row r="905" spans="1:9" ht="25.5">
      <c r="A905" s="238">
        <v>903</v>
      </c>
      <c r="B905" s="216" t="s">
        <v>1616</v>
      </c>
      <c r="C905" s="162" t="s">
        <v>403</v>
      </c>
      <c r="D905" s="162">
        <v>2.02</v>
      </c>
      <c r="E905" s="216" t="s">
        <v>1712</v>
      </c>
      <c r="F905" s="166">
        <v>950873</v>
      </c>
      <c r="G905" s="162" t="s">
        <v>11</v>
      </c>
      <c r="H905" s="162" t="s">
        <v>1004</v>
      </c>
      <c r="I905" s="9" t="s">
        <v>1819</v>
      </c>
    </row>
    <row r="906" spans="1:9" ht="51">
      <c r="A906" s="238">
        <v>904</v>
      </c>
      <c r="B906" s="216" t="s">
        <v>1617</v>
      </c>
      <c r="C906" s="162" t="s">
        <v>1713</v>
      </c>
      <c r="D906" s="233">
        <v>6</v>
      </c>
      <c r="E906" s="216" t="s">
        <v>1714</v>
      </c>
      <c r="F906" s="166" t="s">
        <v>1715</v>
      </c>
      <c r="G906" s="162" t="s">
        <v>43</v>
      </c>
      <c r="H906" s="162" t="s">
        <v>12</v>
      </c>
      <c r="I906" s="9" t="s">
        <v>1819</v>
      </c>
    </row>
    <row r="907" spans="1:9" ht="38.25">
      <c r="A907" s="238">
        <v>905</v>
      </c>
      <c r="B907" s="216" t="s">
        <v>1617</v>
      </c>
      <c r="C907" s="162" t="s">
        <v>1713</v>
      </c>
      <c r="D907" s="233">
        <v>7</v>
      </c>
      <c r="E907" s="216" t="s">
        <v>1716</v>
      </c>
      <c r="F907" s="166" t="s">
        <v>1717</v>
      </c>
      <c r="G907" s="162" t="s">
        <v>43</v>
      </c>
      <c r="H907" s="163" t="s">
        <v>47</v>
      </c>
      <c r="I907" s="9" t="s">
        <v>1819</v>
      </c>
    </row>
    <row r="908" spans="1:9" ht="38.25">
      <c r="A908" s="238">
        <v>906</v>
      </c>
      <c r="B908" s="216" t="s">
        <v>1617</v>
      </c>
      <c r="C908" s="162" t="s">
        <v>1718</v>
      </c>
      <c r="D908" s="233">
        <v>12</v>
      </c>
      <c r="E908" s="216" t="s">
        <v>1719</v>
      </c>
      <c r="F908" s="166" t="s">
        <v>1720</v>
      </c>
      <c r="G908" s="162" t="s">
        <v>43</v>
      </c>
      <c r="H908" s="163" t="s">
        <v>47</v>
      </c>
      <c r="I908" s="9" t="s">
        <v>1819</v>
      </c>
    </row>
    <row r="909" spans="1:9" ht="63.75">
      <c r="A909" s="238">
        <v>907</v>
      </c>
      <c r="B909" s="216" t="s">
        <v>1617</v>
      </c>
      <c r="C909" s="162" t="s">
        <v>602</v>
      </c>
      <c r="D909" s="233">
        <v>1</v>
      </c>
      <c r="E909" s="216" t="s">
        <v>1721</v>
      </c>
      <c r="F909" s="163" t="s">
        <v>1722</v>
      </c>
      <c r="G909" s="162" t="s">
        <v>43</v>
      </c>
      <c r="H909" s="162" t="s">
        <v>12</v>
      </c>
      <c r="I909" s="9" t="s">
        <v>1819</v>
      </c>
    </row>
    <row r="910" spans="1:9" ht="63.75">
      <c r="A910" s="238">
        <v>908</v>
      </c>
      <c r="B910" s="216" t="s">
        <v>1617</v>
      </c>
      <c r="C910" s="162" t="s">
        <v>602</v>
      </c>
      <c r="D910" s="233">
        <v>2</v>
      </c>
      <c r="E910" s="216" t="s">
        <v>1723</v>
      </c>
      <c r="F910" s="163" t="s">
        <v>1724</v>
      </c>
      <c r="G910" s="162" t="s">
        <v>43</v>
      </c>
      <c r="H910" s="162" t="s">
        <v>12</v>
      </c>
      <c r="I910" s="9" t="s">
        <v>1819</v>
      </c>
    </row>
    <row r="911" spans="1:9" ht="25.5">
      <c r="A911" s="238">
        <v>909</v>
      </c>
      <c r="B911" s="216" t="s">
        <v>1618</v>
      </c>
      <c r="C911" s="162" t="s">
        <v>1725</v>
      </c>
      <c r="D911" s="162">
        <v>4</v>
      </c>
      <c r="E911" s="216" t="s">
        <v>1726</v>
      </c>
      <c r="F911" s="162"/>
      <c r="G911" s="162" t="s">
        <v>43</v>
      </c>
      <c r="H911" s="162" t="s">
        <v>19</v>
      </c>
      <c r="I911" s="9" t="s">
        <v>1819</v>
      </c>
    </row>
    <row r="912" spans="1:9" ht="38.25">
      <c r="A912" s="238">
        <v>910</v>
      </c>
      <c r="B912" s="216" t="s">
        <v>1619</v>
      </c>
      <c r="C912" s="162" t="s">
        <v>602</v>
      </c>
      <c r="D912" s="233">
        <v>2</v>
      </c>
      <c r="E912" s="216" t="s">
        <v>1727</v>
      </c>
      <c r="F912" s="199" t="s">
        <v>1728</v>
      </c>
      <c r="G912" s="162" t="s">
        <v>43</v>
      </c>
      <c r="H912" s="162" t="s">
        <v>12</v>
      </c>
      <c r="I912" s="9" t="s">
        <v>1819</v>
      </c>
    </row>
    <row r="913" spans="1:9" ht="51">
      <c r="A913" s="238">
        <v>911</v>
      </c>
      <c r="B913" s="216" t="s">
        <v>1619</v>
      </c>
      <c r="C913" s="162" t="s">
        <v>1065</v>
      </c>
      <c r="D913" s="162">
        <v>7</v>
      </c>
      <c r="E913" s="216" t="s">
        <v>1729</v>
      </c>
      <c r="F913" s="166">
        <v>27979000</v>
      </c>
      <c r="G913" s="162" t="s">
        <v>43</v>
      </c>
      <c r="H913" s="162" t="s">
        <v>12</v>
      </c>
      <c r="I913" s="9" t="s">
        <v>1819</v>
      </c>
    </row>
    <row r="914" spans="1:9" ht="38.25">
      <c r="A914" s="238">
        <v>912</v>
      </c>
      <c r="B914" s="216" t="s">
        <v>1619</v>
      </c>
      <c r="C914" s="162" t="s">
        <v>1065</v>
      </c>
      <c r="D914" s="162">
        <v>9</v>
      </c>
      <c r="E914" s="216" t="s">
        <v>1730</v>
      </c>
      <c r="F914" s="166"/>
      <c r="G914" s="162" t="s">
        <v>43</v>
      </c>
      <c r="H914" s="162" t="s">
        <v>12</v>
      </c>
      <c r="I914" s="9" t="s">
        <v>1819</v>
      </c>
    </row>
    <row r="915" spans="1:9" ht="89.25">
      <c r="A915" s="238">
        <v>913</v>
      </c>
      <c r="B915" s="216" t="s">
        <v>1619</v>
      </c>
      <c r="C915" s="162" t="s">
        <v>1065</v>
      </c>
      <c r="D915" s="162">
        <v>10</v>
      </c>
      <c r="E915" s="216" t="s">
        <v>1731</v>
      </c>
      <c r="F915" s="166" t="s">
        <v>1732</v>
      </c>
      <c r="G915" s="162" t="s">
        <v>43</v>
      </c>
      <c r="H915" s="162" t="s">
        <v>12</v>
      </c>
      <c r="I915" s="9" t="s">
        <v>1819</v>
      </c>
    </row>
    <row r="916" spans="1:9" ht="76.5">
      <c r="A916" s="238">
        <v>914</v>
      </c>
      <c r="B916" s="216" t="s">
        <v>1619</v>
      </c>
      <c r="C916" s="162" t="s">
        <v>1065</v>
      </c>
      <c r="D916" s="162">
        <v>1</v>
      </c>
      <c r="E916" s="216" t="s">
        <v>1733</v>
      </c>
      <c r="F916" s="166" t="s">
        <v>1734</v>
      </c>
      <c r="G916" s="162" t="s">
        <v>11</v>
      </c>
      <c r="H916" s="166" t="s">
        <v>1004</v>
      </c>
      <c r="I916" s="9" t="s">
        <v>1819</v>
      </c>
    </row>
    <row r="917" spans="1:9" ht="51">
      <c r="A917" s="238">
        <v>915</v>
      </c>
      <c r="B917" s="216" t="s">
        <v>1619</v>
      </c>
      <c r="C917" s="162" t="s">
        <v>1065</v>
      </c>
      <c r="D917" s="162">
        <v>2</v>
      </c>
      <c r="E917" s="216" t="s">
        <v>1735</v>
      </c>
      <c r="F917" s="166"/>
      <c r="G917" s="162" t="s">
        <v>11</v>
      </c>
      <c r="H917" s="162" t="s">
        <v>12</v>
      </c>
      <c r="I917" s="9" t="s">
        <v>1819</v>
      </c>
    </row>
    <row r="918" spans="1:9" ht="102">
      <c r="A918" s="238">
        <v>916</v>
      </c>
      <c r="B918" s="216" t="s">
        <v>1619</v>
      </c>
      <c r="C918" s="162" t="s">
        <v>1065</v>
      </c>
      <c r="D918" s="162">
        <v>3</v>
      </c>
      <c r="E918" s="216" t="s">
        <v>1736</v>
      </c>
      <c r="F918" s="166" t="s">
        <v>1737</v>
      </c>
      <c r="G918" s="162" t="s">
        <v>11</v>
      </c>
      <c r="H918" s="166" t="s">
        <v>47</v>
      </c>
      <c r="I918" s="9" t="s">
        <v>1819</v>
      </c>
    </row>
    <row r="919" spans="1:9" ht="89.25">
      <c r="A919" s="238">
        <v>917</v>
      </c>
      <c r="B919" s="216" t="s">
        <v>1619</v>
      </c>
      <c r="C919" s="162" t="s">
        <v>1065</v>
      </c>
      <c r="D919" s="162">
        <v>4</v>
      </c>
      <c r="E919" s="216" t="s">
        <v>1738</v>
      </c>
      <c r="F919" s="166" t="s">
        <v>1739</v>
      </c>
      <c r="G919" s="162" t="s">
        <v>11</v>
      </c>
      <c r="H919" s="166" t="s">
        <v>47</v>
      </c>
      <c r="I919" s="9" t="s">
        <v>1819</v>
      </c>
    </row>
    <row r="920" spans="1:9" ht="76.5">
      <c r="A920" s="238">
        <v>918</v>
      </c>
      <c r="B920" s="216" t="s">
        <v>1619</v>
      </c>
      <c r="C920" s="162" t="s">
        <v>1065</v>
      </c>
      <c r="D920" s="162">
        <v>5</v>
      </c>
      <c r="E920" s="216" t="s">
        <v>1740</v>
      </c>
      <c r="F920" s="166" t="s">
        <v>1741</v>
      </c>
      <c r="G920" s="162" t="s">
        <v>11</v>
      </c>
      <c r="H920" s="166" t="s">
        <v>47</v>
      </c>
      <c r="I920" s="9" t="s">
        <v>1819</v>
      </c>
    </row>
    <row r="921" spans="1:9" ht="63.75">
      <c r="A921" s="238">
        <v>919</v>
      </c>
      <c r="B921" s="216" t="s">
        <v>1619</v>
      </c>
      <c r="C921" s="162" t="s">
        <v>1065</v>
      </c>
      <c r="D921" s="162">
        <v>6</v>
      </c>
      <c r="E921" s="216" t="s">
        <v>1742</v>
      </c>
      <c r="F921" s="166" t="s">
        <v>1743</v>
      </c>
      <c r="G921" s="162" t="s">
        <v>11</v>
      </c>
      <c r="H921" s="166" t="s">
        <v>1004</v>
      </c>
      <c r="I921" s="9" t="s">
        <v>1819</v>
      </c>
    </row>
    <row r="922" spans="1:9" ht="63.75">
      <c r="A922" s="238">
        <v>920</v>
      </c>
      <c r="B922" s="216" t="s">
        <v>1604</v>
      </c>
      <c r="C922" s="162" t="s">
        <v>1065</v>
      </c>
      <c r="D922" s="162">
        <v>2</v>
      </c>
      <c r="E922" s="216" t="s">
        <v>1744</v>
      </c>
      <c r="F922" s="166" t="s">
        <v>1745</v>
      </c>
      <c r="G922" s="162" t="s">
        <v>11</v>
      </c>
      <c r="H922" s="166" t="s">
        <v>47</v>
      </c>
      <c r="I922" s="9" t="s">
        <v>1819</v>
      </c>
    </row>
    <row r="923" spans="1:9" ht="51">
      <c r="A923" s="238">
        <v>921</v>
      </c>
      <c r="B923" s="216" t="s">
        <v>1607</v>
      </c>
      <c r="C923" s="162" t="s">
        <v>1746</v>
      </c>
      <c r="D923" s="162">
        <v>1</v>
      </c>
      <c r="E923" s="216" t="s">
        <v>1747</v>
      </c>
      <c r="F923" s="166" t="s">
        <v>1748</v>
      </c>
      <c r="G923" s="162" t="s">
        <v>11</v>
      </c>
      <c r="H923" s="166" t="s">
        <v>1004</v>
      </c>
      <c r="I923" s="9" t="s">
        <v>1819</v>
      </c>
    </row>
    <row r="924" spans="1:9" ht="51">
      <c r="A924" s="238">
        <v>922</v>
      </c>
      <c r="B924" s="216" t="s">
        <v>1607</v>
      </c>
      <c r="C924" s="162" t="s">
        <v>1746</v>
      </c>
      <c r="D924" s="162">
        <v>2</v>
      </c>
      <c r="E924" s="216" t="s">
        <v>1749</v>
      </c>
      <c r="F924" s="166" t="s">
        <v>1750</v>
      </c>
      <c r="G924" s="162" t="s">
        <v>11</v>
      </c>
      <c r="H924" s="166" t="s">
        <v>47</v>
      </c>
      <c r="I924" s="9" t="s">
        <v>1819</v>
      </c>
    </row>
    <row r="925" spans="1:9" ht="38.25">
      <c r="A925" s="238">
        <v>923</v>
      </c>
      <c r="B925" s="216" t="s">
        <v>1607</v>
      </c>
      <c r="C925" s="162" t="s">
        <v>1746</v>
      </c>
      <c r="D925" s="162">
        <v>3</v>
      </c>
      <c r="E925" s="216" t="s">
        <v>1751</v>
      </c>
      <c r="F925" s="166" t="s">
        <v>1752</v>
      </c>
      <c r="G925" s="162" t="s">
        <v>11</v>
      </c>
      <c r="H925" s="166" t="s">
        <v>1004</v>
      </c>
      <c r="I925" s="9" t="s">
        <v>1819</v>
      </c>
    </row>
    <row r="926" spans="1:9" ht="76.5">
      <c r="A926" s="238">
        <v>924</v>
      </c>
      <c r="B926" s="216" t="s">
        <v>1607</v>
      </c>
      <c r="C926" s="162" t="s">
        <v>1746</v>
      </c>
      <c r="D926" s="162">
        <v>4</v>
      </c>
      <c r="E926" s="216" t="s">
        <v>1753</v>
      </c>
      <c r="F926" s="166" t="s">
        <v>1754</v>
      </c>
      <c r="G926" s="162" t="s">
        <v>11</v>
      </c>
      <c r="H926" s="166" t="s">
        <v>47</v>
      </c>
      <c r="I926" s="9" t="s">
        <v>1819</v>
      </c>
    </row>
    <row r="927" spans="1:9" ht="51">
      <c r="A927" s="238">
        <v>925</v>
      </c>
      <c r="B927" s="216" t="s">
        <v>1607</v>
      </c>
      <c r="C927" s="162" t="s">
        <v>1746</v>
      </c>
      <c r="D927" s="162">
        <v>5</v>
      </c>
      <c r="E927" s="216" t="s">
        <v>1755</v>
      </c>
      <c r="F927" s="166" t="s">
        <v>1756</v>
      </c>
      <c r="G927" s="162" t="s">
        <v>11</v>
      </c>
      <c r="H927" s="166" t="s">
        <v>1638</v>
      </c>
      <c r="I927" s="9" t="s">
        <v>1819</v>
      </c>
    </row>
    <row r="928" spans="1:9" ht="38.25">
      <c r="A928" s="238">
        <v>926</v>
      </c>
      <c r="B928" s="216" t="s">
        <v>1607</v>
      </c>
      <c r="C928" s="162" t="s">
        <v>1746</v>
      </c>
      <c r="D928" s="162">
        <v>6</v>
      </c>
      <c r="E928" s="216" t="s">
        <v>1757</v>
      </c>
      <c r="F928" s="166" t="s">
        <v>1758</v>
      </c>
      <c r="G928" s="162" t="s">
        <v>43</v>
      </c>
      <c r="H928" s="166" t="s">
        <v>47</v>
      </c>
      <c r="I928" s="9" t="s">
        <v>1819</v>
      </c>
    </row>
    <row r="929" spans="1:9" ht="38.25">
      <c r="A929" s="238">
        <v>927</v>
      </c>
      <c r="B929" s="216" t="s">
        <v>1599</v>
      </c>
      <c r="C929" s="162" t="s">
        <v>1759</v>
      </c>
      <c r="D929" s="162">
        <v>1</v>
      </c>
      <c r="E929" s="216" t="s">
        <v>1760</v>
      </c>
      <c r="F929" s="166" t="s">
        <v>1761</v>
      </c>
      <c r="G929" s="162" t="s">
        <v>11</v>
      </c>
      <c r="H929" s="166" t="s">
        <v>1004</v>
      </c>
      <c r="I929" s="9" t="s">
        <v>1819</v>
      </c>
    </row>
    <row r="930" spans="1:9" ht="38.25">
      <c r="A930" s="238">
        <v>928</v>
      </c>
      <c r="B930" s="216" t="s">
        <v>1599</v>
      </c>
      <c r="C930" s="162" t="s">
        <v>1759</v>
      </c>
      <c r="D930" s="162">
        <v>2</v>
      </c>
      <c r="E930" s="216" t="s">
        <v>1762</v>
      </c>
      <c r="F930" s="166" t="s">
        <v>1763</v>
      </c>
      <c r="G930" s="162" t="s">
        <v>11</v>
      </c>
      <c r="H930" s="162" t="s">
        <v>12</v>
      </c>
      <c r="I930" s="9" t="s">
        <v>1819</v>
      </c>
    </row>
    <row r="931" spans="1:9" ht="51">
      <c r="A931" s="238">
        <v>929</v>
      </c>
      <c r="B931" s="216" t="s">
        <v>1599</v>
      </c>
      <c r="C931" s="162" t="s">
        <v>1759</v>
      </c>
      <c r="D931" s="162">
        <v>3</v>
      </c>
      <c r="E931" s="216" t="s">
        <v>1764</v>
      </c>
      <c r="F931" s="166" t="s">
        <v>1765</v>
      </c>
      <c r="G931" s="162" t="s">
        <v>11</v>
      </c>
      <c r="H931" s="166" t="s">
        <v>47</v>
      </c>
      <c r="I931" s="9" t="s">
        <v>1819</v>
      </c>
    </row>
    <row r="932" spans="1:9" ht="38.25">
      <c r="A932" s="238">
        <v>930</v>
      </c>
      <c r="B932" s="216" t="s">
        <v>1599</v>
      </c>
      <c r="C932" s="162" t="s">
        <v>1759</v>
      </c>
      <c r="D932" s="162">
        <v>4</v>
      </c>
      <c r="E932" s="216" t="s">
        <v>1766</v>
      </c>
      <c r="F932" s="166" t="s">
        <v>1767</v>
      </c>
      <c r="G932" s="162" t="s">
        <v>11</v>
      </c>
      <c r="H932" s="162" t="s">
        <v>12</v>
      </c>
      <c r="I932" s="9" t="s">
        <v>1819</v>
      </c>
    </row>
    <row r="933" spans="1:9" ht="51">
      <c r="A933" s="238">
        <v>931</v>
      </c>
      <c r="B933" s="216" t="s">
        <v>1599</v>
      </c>
      <c r="C933" s="162" t="s">
        <v>1759</v>
      </c>
      <c r="D933" s="162">
        <v>5</v>
      </c>
      <c r="E933" s="216" t="s">
        <v>1768</v>
      </c>
      <c r="F933" s="166" t="s">
        <v>1758</v>
      </c>
      <c r="G933" s="162" t="s">
        <v>11</v>
      </c>
      <c r="H933" s="166" t="s">
        <v>47</v>
      </c>
      <c r="I933" s="9" t="s">
        <v>1819</v>
      </c>
    </row>
    <row r="934" spans="1:9" ht="38.25">
      <c r="A934" s="238">
        <v>932</v>
      </c>
      <c r="B934" s="216" t="s">
        <v>1599</v>
      </c>
      <c r="C934" s="162" t="s">
        <v>1759</v>
      </c>
      <c r="D934" s="162">
        <v>6</v>
      </c>
      <c r="E934" s="216" t="s">
        <v>1769</v>
      </c>
      <c r="F934" s="166" t="s">
        <v>1758</v>
      </c>
      <c r="G934" s="162" t="s">
        <v>11</v>
      </c>
      <c r="H934" s="166" t="s">
        <v>47</v>
      </c>
      <c r="I934" s="9" t="s">
        <v>1819</v>
      </c>
    </row>
    <row r="935" spans="1:9" ht="38.25">
      <c r="A935" s="238">
        <v>933</v>
      </c>
      <c r="B935" s="216" t="s">
        <v>1599</v>
      </c>
      <c r="C935" s="162" t="s">
        <v>1759</v>
      </c>
      <c r="D935" s="162">
        <v>7</v>
      </c>
      <c r="E935" s="216" t="s">
        <v>1770</v>
      </c>
      <c r="F935" s="166" t="s">
        <v>1771</v>
      </c>
      <c r="G935" s="162" t="s">
        <v>11</v>
      </c>
      <c r="H935" s="166" t="s">
        <v>1638</v>
      </c>
      <c r="I935" s="9" t="s">
        <v>1819</v>
      </c>
    </row>
    <row r="936" spans="1:9" ht="38.25">
      <c r="A936" s="238">
        <v>934</v>
      </c>
      <c r="B936" s="216" t="s">
        <v>1599</v>
      </c>
      <c r="C936" s="162" t="s">
        <v>1759</v>
      </c>
      <c r="D936" s="162">
        <v>8</v>
      </c>
      <c r="E936" s="216" t="s">
        <v>1772</v>
      </c>
      <c r="F936" s="166" t="s">
        <v>1773</v>
      </c>
      <c r="G936" s="162" t="s">
        <v>11</v>
      </c>
      <c r="H936" s="166" t="s">
        <v>47</v>
      </c>
      <c r="I936" s="9" t="s">
        <v>1819</v>
      </c>
    </row>
    <row r="937" spans="1:9" ht="51">
      <c r="A937" s="238">
        <v>935</v>
      </c>
      <c r="B937" s="216" t="s">
        <v>1599</v>
      </c>
      <c r="C937" s="162" t="s">
        <v>1759</v>
      </c>
      <c r="D937" s="162">
        <v>9</v>
      </c>
      <c r="E937" s="216" t="s">
        <v>1774</v>
      </c>
      <c r="F937" s="166" t="s">
        <v>1775</v>
      </c>
      <c r="G937" s="162" t="s">
        <v>11</v>
      </c>
      <c r="H937" s="162" t="s">
        <v>12</v>
      </c>
      <c r="I937" s="9" t="s">
        <v>1819</v>
      </c>
    </row>
    <row r="938" spans="1:9" ht="63.75">
      <c r="A938" s="238">
        <v>936</v>
      </c>
      <c r="B938" s="216" t="s">
        <v>1599</v>
      </c>
      <c r="C938" s="162" t="s">
        <v>1759</v>
      </c>
      <c r="D938" s="162">
        <v>10</v>
      </c>
      <c r="E938" s="216" t="s">
        <v>1776</v>
      </c>
      <c r="F938" s="166" t="s">
        <v>1777</v>
      </c>
      <c r="G938" s="162" t="s">
        <v>11</v>
      </c>
      <c r="H938" s="166" t="s">
        <v>1638</v>
      </c>
      <c r="I938" s="9" t="s">
        <v>1819</v>
      </c>
    </row>
    <row r="939" spans="1:9" ht="51">
      <c r="A939" s="238">
        <v>937</v>
      </c>
      <c r="B939" s="216" t="s">
        <v>1599</v>
      </c>
      <c r="C939" s="162" t="s">
        <v>1759</v>
      </c>
      <c r="D939" s="162">
        <v>12</v>
      </c>
      <c r="E939" s="216" t="s">
        <v>1778</v>
      </c>
      <c r="F939" s="166" t="s">
        <v>1779</v>
      </c>
      <c r="G939" s="162" t="s">
        <v>43</v>
      </c>
      <c r="H939" s="162" t="s">
        <v>12</v>
      </c>
      <c r="I939" s="9" t="s">
        <v>1819</v>
      </c>
    </row>
    <row r="940" spans="1:9" ht="25.5">
      <c r="A940" s="238">
        <v>938</v>
      </c>
      <c r="B940" s="216" t="s">
        <v>1599</v>
      </c>
      <c r="C940" s="162" t="s">
        <v>1759</v>
      </c>
      <c r="D940" s="162">
        <v>13</v>
      </c>
      <c r="E940" s="216" t="s">
        <v>1780</v>
      </c>
      <c r="F940" s="166" t="s">
        <v>1758</v>
      </c>
      <c r="G940" s="162" t="s">
        <v>43</v>
      </c>
      <c r="H940" s="166" t="s">
        <v>47</v>
      </c>
      <c r="I940" s="9" t="s">
        <v>1819</v>
      </c>
    </row>
    <row r="941" spans="1:9" ht="51">
      <c r="A941" s="238">
        <v>939</v>
      </c>
      <c r="B941" s="216" t="s">
        <v>1599</v>
      </c>
      <c r="C941" s="162" t="s">
        <v>1759</v>
      </c>
      <c r="D941" s="162">
        <v>14</v>
      </c>
      <c r="E941" s="216" t="s">
        <v>1781</v>
      </c>
      <c r="F941" s="166" t="s">
        <v>1782</v>
      </c>
      <c r="G941" s="162" t="s">
        <v>43</v>
      </c>
      <c r="H941" s="166" t="s">
        <v>1004</v>
      </c>
      <c r="I941" s="9" t="s">
        <v>1819</v>
      </c>
    </row>
    <row r="942" spans="1:9" ht="76.5">
      <c r="A942" s="238">
        <v>940</v>
      </c>
      <c r="B942" s="216" t="s">
        <v>1617</v>
      </c>
      <c r="C942" s="162" t="s">
        <v>1065</v>
      </c>
      <c r="D942" s="233">
        <v>1</v>
      </c>
      <c r="E942" s="216" t="s">
        <v>1783</v>
      </c>
      <c r="F942" s="166" t="s">
        <v>1784</v>
      </c>
      <c r="G942" s="162" t="s">
        <v>11</v>
      </c>
      <c r="H942" s="162" t="s">
        <v>12</v>
      </c>
      <c r="I942" s="9" t="s">
        <v>1819</v>
      </c>
    </row>
    <row r="943" spans="1:9" ht="63.75">
      <c r="A943" s="238">
        <v>941</v>
      </c>
      <c r="B943" s="216" t="s">
        <v>1617</v>
      </c>
      <c r="C943" s="162" t="s">
        <v>1065</v>
      </c>
      <c r="D943" s="233">
        <v>2</v>
      </c>
      <c r="E943" s="216" t="s">
        <v>1785</v>
      </c>
      <c r="F943" s="166" t="s">
        <v>1786</v>
      </c>
      <c r="G943" s="162" t="s">
        <v>11</v>
      </c>
      <c r="H943" s="162" t="s">
        <v>12</v>
      </c>
      <c r="I943" s="9" t="s">
        <v>1819</v>
      </c>
    </row>
    <row r="944" spans="1:9" ht="102">
      <c r="A944" s="238">
        <v>942</v>
      </c>
      <c r="B944" s="216" t="s">
        <v>1617</v>
      </c>
      <c r="C944" s="162" t="s">
        <v>1065</v>
      </c>
      <c r="D944" s="233">
        <v>3</v>
      </c>
      <c r="E944" s="216" t="s">
        <v>1787</v>
      </c>
      <c r="F944" s="166" t="s">
        <v>1788</v>
      </c>
      <c r="G944" s="162" t="s">
        <v>11</v>
      </c>
      <c r="H944" s="163" t="s">
        <v>47</v>
      </c>
      <c r="I944" s="9" t="s">
        <v>1819</v>
      </c>
    </row>
    <row r="945" spans="1:9" ht="76.5">
      <c r="A945" s="238">
        <v>943</v>
      </c>
      <c r="B945" s="216" t="s">
        <v>1617</v>
      </c>
      <c r="C945" s="162" t="s">
        <v>1065</v>
      </c>
      <c r="D945" s="233">
        <v>4</v>
      </c>
      <c r="E945" s="216" t="s">
        <v>1789</v>
      </c>
      <c r="F945" s="166" t="s">
        <v>1790</v>
      </c>
      <c r="G945" s="162" t="s">
        <v>11</v>
      </c>
      <c r="H945" s="162" t="s">
        <v>12</v>
      </c>
      <c r="I945" s="9" t="s">
        <v>1819</v>
      </c>
    </row>
    <row r="946" spans="1:9" ht="89.25">
      <c r="A946" s="238">
        <v>944</v>
      </c>
      <c r="B946" s="216" t="s">
        <v>1617</v>
      </c>
      <c r="C946" s="162" t="s">
        <v>1065</v>
      </c>
      <c r="D946" s="233">
        <v>5</v>
      </c>
      <c r="E946" s="216" t="s">
        <v>1791</v>
      </c>
      <c r="F946" s="166" t="s">
        <v>1792</v>
      </c>
      <c r="G946" s="162" t="s">
        <v>11</v>
      </c>
      <c r="H946" s="163" t="s">
        <v>47</v>
      </c>
      <c r="I946" s="9" t="s">
        <v>1819</v>
      </c>
    </row>
    <row r="947" spans="1:9" ht="38.25">
      <c r="A947" s="238">
        <v>945</v>
      </c>
      <c r="B947" s="216" t="s">
        <v>1619</v>
      </c>
      <c r="C947" s="162" t="s">
        <v>1793</v>
      </c>
      <c r="D947" s="162">
        <v>1</v>
      </c>
      <c r="E947" s="219" t="s">
        <v>1794</v>
      </c>
      <c r="F947" s="200">
        <v>4935180</v>
      </c>
      <c r="G947" s="162" t="s">
        <v>11</v>
      </c>
      <c r="H947" s="166" t="s">
        <v>1638</v>
      </c>
      <c r="I947" s="9" t="s">
        <v>1819</v>
      </c>
    </row>
    <row r="948" spans="1:9" ht="84">
      <c r="A948" s="238">
        <v>946</v>
      </c>
      <c r="B948" s="216" t="s">
        <v>1619</v>
      </c>
      <c r="C948" s="162" t="s">
        <v>1793</v>
      </c>
      <c r="D948" s="162">
        <v>2</v>
      </c>
      <c r="E948" s="219" t="s">
        <v>1795</v>
      </c>
      <c r="F948" s="200">
        <v>153000</v>
      </c>
      <c r="G948" s="162" t="s">
        <v>43</v>
      </c>
      <c r="H948" s="163" t="s">
        <v>47</v>
      </c>
      <c r="I948" s="9" t="s">
        <v>1819</v>
      </c>
    </row>
    <row r="949" spans="1:9" ht="60">
      <c r="A949" s="238">
        <v>947</v>
      </c>
      <c r="B949" s="216" t="s">
        <v>1619</v>
      </c>
      <c r="C949" s="162" t="s">
        <v>1793</v>
      </c>
      <c r="D949" s="162">
        <v>3</v>
      </c>
      <c r="E949" s="219" t="s">
        <v>1796</v>
      </c>
      <c r="F949" s="200">
        <v>119330</v>
      </c>
      <c r="G949" s="162" t="s">
        <v>43</v>
      </c>
      <c r="H949" s="162" t="s">
        <v>12</v>
      </c>
      <c r="I949" s="9" t="s">
        <v>1819</v>
      </c>
    </row>
    <row r="950" spans="1:9" ht="48">
      <c r="A950" s="238">
        <v>948</v>
      </c>
      <c r="B950" s="216" t="s">
        <v>1619</v>
      </c>
      <c r="C950" s="162" t="s">
        <v>1793</v>
      </c>
      <c r="D950" s="162">
        <v>4</v>
      </c>
      <c r="E950" s="219" t="s">
        <v>1797</v>
      </c>
      <c r="F950" s="166" t="s">
        <v>1758</v>
      </c>
      <c r="G950" s="162" t="s">
        <v>43</v>
      </c>
      <c r="H950" s="166" t="s">
        <v>1004</v>
      </c>
      <c r="I950" s="9" t="s">
        <v>1819</v>
      </c>
    </row>
    <row r="951" spans="1:9" ht="63.75">
      <c r="A951" s="238">
        <v>949</v>
      </c>
      <c r="B951" s="216" t="s">
        <v>1596</v>
      </c>
      <c r="C951" s="162" t="s">
        <v>1793</v>
      </c>
      <c r="D951" s="162">
        <v>1</v>
      </c>
      <c r="E951" s="216" t="s">
        <v>1798</v>
      </c>
      <c r="F951" s="166" t="s">
        <v>1799</v>
      </c>
      <c r="G951" s="162" t="s">
        <v>43</v>
      </c>
      <c r="H951" s="163" t="s">
        <v>47</v>
      </c>
      <c r="I951" s="9" t="s">
        <v>1819</v>
      </c>
    </row>
    <row r="952" spans="1:9" ht="76.5">
      <c r="A952" s="238">
        <v>950</v>
      </c>
      <c r="B952" s="216" t="s">
        <v>1596</v>
      </c>
      <c r="C952" s="162" t="s">
        <v>1793</v>
      </c>
      <c r="D952" s="162">
        <v>2</v>
      </c>
      <c r="E952" s="216" t="s">
        <v>1800</v>
      </c>
      <c r="F952" s="166" t="s">
        <v>1801</v>
      </c>
      <c r="G952" s="162" t="s">
        <v>43</v>
      </c>
      <c r="H952" s="166" t="s">
        <v>1004</v>
      </c>
      <c r="I952" s="9" t="s">
        <v>1819</v>
      </c>
    </row>
    <row r="953" spans="1:9" ht="76.5">
      <c r="A953" s="238">
        <v>951</v>
      </c>
      <c r="B953" s="216" t="s">
        <v>1596</v>
      </c>
      <c r="C953" s="162" t="s">
        <v>1793</v>
      </c>
      <c r="D953" s="162">
        <v>3</v>
      </c>
      <c r="E953" s="216" t="s">
        <v>1802</v>
      </c>
      <c r="F953" s="166">
        <v>28000</v>
      </c>
      <c r="G953" s="162" t="s">
        <v>43</v>
      </c>
      <c r="H953" s="166" t="s">
        <v>1004</v>
      </c>
      <c r="I953" s="9" t="s">
        <v>1819</v>
      </c>
    </row>
    <row r="954" spans="1:9" ht="51">
      <c r="A954" s="238">
        <v>952</v>
      </c>
      <c r="B954" s="216" t="s">
        <v>1596</v>
      </c>
      <c r="C954" s="162" t="s">
        <v>1793</v>
      </c>
      <c r="D954" s="162">
        <v>4</v>
      </c>
      <c r="E954" s="216" t="s">
        <v>1803</v>
      </c>
      <c r="F954" s="166" t="s">
        <v>1758</v>
      </c>
      <c r="G954" s="162" t="s">
        <v>43</v>
      </c>
      <c r="H954" s="162" t="s">
        <v>12</v>
      </c>
      <c r="I954" s="9" t="s">
        <v>1819</v>
      </c>
    </row>
    <row r="955" spans="1:9" ht="63.75">
      <c r="A955" s="238">
        <v>953</v>
      </c>
      <c r="B955" s="237" t="s">
        <v>1804</v>
      </c>
      <c r="C955" s="162" t="s">
        <v>1793</v>
      </c>
      <c r="D955" s="162">
        <v>1</v>
      </c>
      <c r="E955" s="216" t="s">
        <v>1805</v>
      </c>
      <c r="F955" s="200" t="s">
        <v>1806</v>
      </c>
      <c r="G955" s="162" t="s">
        <v>11</v>
      </c>
      <c r="H955" s="166" t="s">
        <v>1638</v>
      </c>
      <c r="I955" s="9" t="s">
        <v>1819</v>
      </c>
    </row>
    <row r="956" spans="1:9" ht="63.75">
      <c r="A956" s="238">
        <v>954</v>
      </c>
      <c r="B956" s="237" t="s">
        <v>1804</v>
      </c>
      <c r="C956" s="162" t="s">
        <v>1793</v>
      </c>
      <c r="D956" s="162">
        <v>2</v>
      </c>
      <c r="E956" s="216" t="s">
        <v>1807</v>
      </c>
      <c r="F956" s="200" t="s">
        <v>1808</v>
      </c>
      <c r="G956" s="162" t="s">
        <v>43</v>
      </c>
      <c r="H956" s="166" t="s">
        <v>1004</v>
      </c>
      <c r="I956" s="9" t="s">
        <v>1819</v>
      </c>
    </row>
    <row r="957" spans="1:9" ht="63.75">
      <c r="A957" s="238">
        <v>955</v>
      </c>
      <c r="B957" s="216" t="s">
        <v>1809</v>
      </c>
      <c r="C957" s="162" t="s">
        <v>1793</v>
      </c>
      <c r="D957" s="162">
        <v>1</v>
      </c>
      <c r="E957" s="216" t="s">
        <v>1810</v>
      </c>
      <c r="F957" s="200" t="s">
        <v>1811</v>
      </c>
      <c r="G957" s="162" t="s">
        <v>11</v>
      </c>
      <c r="H957" s="163" t="s">
        <v>47</v>
      </c>
      <c r="I957" s="9" t="s">
        <v>1819</v>
      </c>
    </row>
    <row r="958" spans="1:9" ht="76.5">
      <c r="A958" s="238">
        <v>956</v>
      </c>
      <c r="B958" s="216" t="s">
        <v>1809</v>
      </c>
      <c r="C958" s="162" t="s">
        <v>1793</v>
      </c>
      <c r="D958" s="162">
        <v>2</v>
      </c>
      <c r="E958" s="216" t="s">
        <v>1812</v>
      </c>
      <c r="F958" s="200" t="s">
        <v>1813</v>
      </c>
      <c r="G958" s="162" t="s">
        <v>11</v>
      </c>
      <c r="H958" s="166" t="s">
        <v>1004</v>
      </c>
      <c r="I958" s="9" t="s">
        <v>1819</v>
      </c>
    </row>
    <row r="959" spans="1:9" ht="51">
      <c r="A959" s="238">
        <v>957</v>
      </c>
      <c r="B959" s="216" t="s">
        <v>1809</v>
      </c>
      <c r="C959" s="162" t="s">
        <v>1793</v>
      </c>
      <c r="D959" s="162">
        <v>3</v>
      </c>
      <c r="E959" s="216" t="s">
        <v>1814</v>
      </c>
      <c r="F959" s="200" t="s">
        <v>1815</v>
      </c>
      <c r="G959" s="162" t="s">
        <v>11</v>
      </c>
      <c r="H959" s="166" t="s">
        <v>1004</v>
      </c>
      <c r="I959" s="9" t="s">
        <v>1819</v>
      </c>
    </row>
    <row r="960" spans="1:9" ht="38.25">
      <c r="A960" s="238">
        <v>958</v>
      </c>
      <c r="B960" s="216" t="s">
        <v>1809</v>
      </c>
      <c r="C960" s="162" t="s">
        <v>1793</v>
      </c>
      <c r="D960" s="162">
        <v>4</v>
      </c>
      <c r="E960" s="216" t="s">
        <v>1816</v>
      </c>
      <c r="F960" s="166" t="s">
        <v>1758</v>
      </c>
      <c r="G960" s="162" t="s">
        <v>11</v>
      </c>
      <c r="H960" s="163" t="s">
        <v>47</v>
      </c>
      <c r="I960" s="9" t="s">
        <v>1819</v>
      </c>
    </row>
    <row r="961" spans="1:9" ht="38.25">
      <c r="A961" s="238">
        <v>959</v>
      </c>
      <c r="B961" s="216" t="s">
        <v>1809</v>
      </c>
      <c r="C961" s="162" t="s">
        <v>1793</v>
      </c>
      <c r="D961" s="162">
        <v>5</v>
      </c>
      <c r="E961" s="216" t="s">
        <v>1817</v>
      </c>
      <c r="F961" s="166" t="s">
        <v>1758</v>
      </c>
      <c r="G961" s="162" t="s">
        <v>43</v>
      </c>
      <c r="H961" s="163" t="s">
        <v>47</v>
      </c>
      <c r="I961" s="9" t="s">
        <v>1819</v>
      </c>
    </row>
    <row r="962" spans="1:9" ht="63.75">
      <c r="A962" s="238">
        <v>960</v>
      </c>
      <c r="B962" s="216" t="s">
        <v>1809</v>
      </c>
      <c r="C962" s="162" t="s">
        <v>1793</v>
      </c>
      <c r="D962" s="162">
        <v>6</v>
      </c>
      <c r="E962" s="216" t="s">
        <v>1818</v>
      </c>
      <c r="F962" s="166" t="s">
        <v>1758</v>
      </c>
      <c r="G962" s="162" t="s">
        <v>43</v>
      </c>
      <c r="H962" s="163" t="s">
        <v>47</v>
      </c>
      <c r="I962" s="9" t="s">
        <v>1819</v>
      </c>
    </row>
    <row r="963" spans="1:9" ht="82.5">
      <c r="A963" s="238">
        <v>961</v>
      </c>
      <c r="B963" s="28" t="s">
        <v>2138</v>
      </c>
      <c r="C963" s="37" t="s">
        <v>2139</v>
      </c>
      <c r="D963" s="37" t="s">
        <v>2140</v>
      </c>
      <c r="E963" s="354" t="s">
        <v>2141</v>
      </c>
      <c r="F963" s="355">
        <v>372928</v>
      </c>
      <c r="G963" s="355" t="s">
        <v>2142</v>
      </c>
      <c r="H963" s="26" t="s">
        <v>29</v>
      </c>
      <c r="I963" s="26" t="s">
        <v>3061</v>
      </c>
    </row>
    <row r="964" spans="1:9" ht="99">
      <c r="A964" s="238">
        <v>962</v>
      </c>
      <c r="B964" s="28" t="s">
        <v>2138</v>
      </c>
      <c r="C964" s="37" t="s">
        <v>2143</v>
      </c>
      <c r="D964" s="37" t="s">
        <v>2144</v>
      </c>
      <c r="E964" s="354" t="s">
        <v>2145</v>
      </c>
      <c r="F964" s="355">
        <v>173992</v>
      </c>
      <c r="G964" s="355" t="s">
        <v>2142</v>
      </c>
      <c r="H964" s="26" t="s">
        <v>44</v>
      </c>
      <c r="I964" s="26" t="s">
        <v>3061</v>
      </c>
    </row>
    <row r="965" spans="1:9" ht="82.5">
      <c r="A965" s="238">
        <v>963</v>
      </c>
      <c r="B965" s="28" t="s">
        <v>2138</v>
      </c>
      <c r="C965" s="37" t="s">
        <v>2146</v>
      </c>
      <c r="D965" s="37" t="s">
        <v>2147</v>
      </c>
      <c r="E965" s="354" t="s">
        <v>2148</v>
      </c>
      <c r="F965" s="355">
        <v>13912</v>
      </c>
      <c r="G965" s="355" t="s">
        <v>2142</v>
      </c>
      <c r="H965" s="26" t="s">
        <v>44</v>
      </c>
      <c r="I965" s="26" t="s">
        <v>3061</v>
      </c>
    </row>
    <row r="966" spans="1:9" ht="49.5">
      <c r="A966" s="238">
        <v>964</v>
      </c>
      <c r="B966" s="28" t="s">
        <v>2149</v>
      </c>
      <c r="C966" s="37" t="s">
        <v>2150</v>
      </c>
      <c r="D966" s="37" t="s">
        <v>2151</v>
      </c>
      <c r="E966" s="354" t="s">
        <v>2152</v>
      </c>
      <c r="F966" s="355">
        <v>3780582</v>
      </c>
      <c r="G966" s="355" t="s">
        <v>2142</v>
      </c>
      <c r="H966" s="356" t="s">
        <v>12</v>
      </c>
      <c r="I966" s="26" t="s">
        <v>3061</v>
      </c>
    </row>
    <row r="967" spans="1:9" ht="82.5">
      <c r="A967" s="238">
        <v>965</v>
      </c>
      <c r="B967" s="28" t="s">
        <v>2149</v>
      </c>
      <c r="C967" s="37" t="s">
        <v>2153</v>
      </c>
      <c r="D967" s="37" t="s">
        <v>2154</v>
      </c>
      <c r="E967" s="354" t="s">
        <v>2155</v>
      </c>
      <c r="F967" s="355">
        <v>3306954</v>
      </c>
      <c r="G967" s="355" t="s">
        <v>2142</v>
      </c>
      <c r="H967" s="356" t="s">
        <v>12</v>
      </c>
      <c r="I967" s="26" t="s">
        <v>3061</v>
      </c>
    </row>
    <row r="968" spans="1:9" ht="82.5">
      <c r="A968" s="238">
        <v>966</v>
      </c>
      <c r="B968" s="28" t="s">
        <v>2149</v>
      </c>
      <c r="C968" s="357" t="s">
        <v>2156</v>
      </c>
      <c r="D968" s="357" t="s">
        <v>2157</v>
      </c>
      <c r="E968" s="358" t="s">
        <v>2158</v>
      </c>
      <c r="F968" s="359">
        <v>1298916</v>
      </c>
      <c r="G968" s="355" t="s">
        <v>2142</v>
      </c>
      <c r="H968" s="356" t="s">
        <v>12</v>
      </c>
      <c r="I968" s="26" t="s">
        <v>3061</v>
      </c>
    </row>
    <row r="969" spans="1:9" ht="82.5">
      <c r="A969" s="238">
        <v>967</v>
      </c>
      <c r="B969" s="28" t="s">
        <v>2159</v>
      </c>
      <c r="C969" s="37" t="s">
        <v>2160</v>
      </c>
      <c r="D969" s="37" t="s">
        <v>2161</v>
      </c>
      <c r="E969" s="354" t="s">
        <v>2162</v>
      </c>
      <c r="F969" s="355">
        <v>119624</v>
      </c>
      <c r="G969" s="355" t="s">
        <v>2142</v>
      </c>
      <c r="H969" s="356" t="s">
        <v>12</v>
      </c>
      <c r="I969" s="26" t="s">
        <v>3061</v>
      </c>
    </row>
    <row r="970" spans="1:9" ht="82.5">
      <c r="A970" s="238">
        <v>968</v>
      </c>
      <c r="B970" s="28" t="s">
        <v>2159</v>
      </c>
      <c r="C970" s="37" t="s">
        <v>2163</v>
      </c>
      <c r="D970" s="37" t="s">
        <v>2164</v>
      </c>
      <c r="E970" s="354" t="s">
        <v>2165</v>
      </c>
      <c r="F970" s="355">
        <v>46880</v>
      </c>
      <c r="G970" s="355" t="s">
        <v>2142</v>
      </c>
      <c r="H970" s="26" t="s">
        <v>2166</v>
      </c>
      <c r="I970" s="26" t="s">
        <v>3061</v>
      </c>
    </row>
    <row r="971" spans="1:9" ht="82.5">
      <c r="A971" s="238">
        <v>969</v>
      </c>
      <c r="B971" s="28" t="s">
        <v>2159</v>
      </c>
      <c r="C971" s="37" t="s">
        <v>2167</v>
      </c>
      <c r="D971" s="37" t="s">
        <v>2168</v>
      </c>
      <c r="E971" s="354" t="s">
        <v>1105</v>
      </c>
      <c r="F971" s="355">
        <v>831677</v>
      </c>
      <c r="G971" s="355" t="s">
        <v>2142</v>
      </c>
      <c r="H971" s="26" t="s">
        <v>1105</v>
      </c>
      <c r="I971" s="26" t="s">
        <v>3061</v>
      </c>
    </row>
    <row r="972" spans="1:9" ht="99">
      <c r="A972" s="238">
        <v>970</v>
      </c>
      <c r="B972" s="28" t="s">
        <v>2159</v>
      </c>
      <c r="C972" s="37" t="s">
        <v>2169</v>
      </c>
      <c r="D972" s="37" t="s">
        <v>2170</v>
      </c>
      <c r="E972" s="354" t="s">
        <v>2171</v>
      </c>
      <c r="F972" s="355">
        <v>102937</v>
      </c>
      <c r="G972" s="355" t="s">
        <v>2142</v>
      </c>
      <c r="H972" s="26" t="s">
        <v>1105</v>
      </c>
      <c r="I972" s="26" t="s">
        <v>3061</v>
      </c>
    </row>
    <row r="973" spans="1:9" ht="66">
      <c r="A973" s="238">
        <v>971</v>
      </c>
      <c r="B973" s="28" t="s">
        <v>983</v>
      </c>
      <c r="C973" s="37" t="s">
        <v>2172</v>
      </c>
      <c r="D973" s="37" t="s">
        <v>2173</v>
      </c>
      <c r="E973" s="360" t="s">
        <v>2174</v>
      </c>
      <c r="F973" s="361">
        <v>49096145</v>
      </c>
      <c r="G973" s="355" t="s">
        <v>2142</v>
      </c>
      <c r="H973" s="26" t="s">
        <v>44</v>
      </c>
      <c r="I973" s="26" t="s">
        <v>3061</v>
      </c>
    </row>
    <row r="974" spans="1:9" ht="99">
      <c r="A974" s="238">
        <v>972</v>
      </c>
      <c r="B974" s="28" t="s">
        <v>983</v>
      </c>
      <c r="C974" s="37" t="s">
        <v>2175</v>
      </c>
      <c r="D974" s="37" t="s">
        <v>2176</v>
      </c>
      <c r="E974" s="354" t="s">
        <v>2177</v>
      </c>
      <c r="F974" s="355">
        <v>55000</v>
      </c>
      <c r="G974" s="355" t="s">
        <v>2142</v>
      </c>
      <c r="H974" s="26" t="s">
        <v>47</v>
      </c>
      <c r="I974" s="26" t="s">
        <v>3061</v>
      </c>
    </row>
    <row r="975" spans="1:9" ht="66">
      <c r="A975" s="238">
        <v>973</v>
      </c>
      <c r="B975" s="28" t="s">
        <v>983</v>
      </c>
      <c r="C975" s="37" t="s">
        <v>2172</v>
      </c>
      <c r="D975" s="37" t="s">
        <v>2178</v>
      </c>
      <c r="E975" s="360" t="s">
        <v>2179</v>
      </c>
      <c r="F975" s="361">
        <v>4617615</v>
      </c>
      <c r="G975" s="355" t="s">
        <v>2142</v>
      </c>
      <c r="H975" s="26" t="s">
        <v>44</v>
      </c>
      <c r="I975" s="26" t="s">
        <v>3061</v>
      </c>
    </row>
    <row r="976" spans="1:9" ht="82.5">
      <c r="A976" s="238">
        <v>974</v>
      </c>
      <c r="B976" s="28" t="s">
        <v>2180</v>
      </c>
      <c r="C976" s="37" t="s">
        <v>2163</v>
      </c>
      <c r="D976" s="37" t="s">
        <v>2181</v>
      </c>
      <c r="E976" s="354" t="s">
        <v>1224</v>
      </c>
      <c r="F976" s="355">
        <v>9100362</v>
      </c>
      <c r="G976" s="355" t="s">
        <v>2142</v>
      </c>
      <c r="H976" s="26" t="s">
        <v>29</v>
      </c>
      <c r="I976" s="26" t="s">
        <v>3061</v>
      </c>
    </row>
    <row r="977" spans="1:9" ht="82.5">
      <c r="A977" s="238">
        <v>975</v>
      </c>
      <c r="B977" s="28" t="s">
        <v>2180</v>
      </c>
      <c r="C977" s="37" t="s">
        <v>2182</v>
      </c>
      <c r="D977" s="37" t="s">
        <v>2183</v>
      </c>
      <c r="E977" s="354" t="s">
        <v>2184</v>
      </c>
      <c r="F977" s="355">
        <v>444871</v>
      </c>
      <c r="G977" s="355" t="s">
        <v>2142</v>
      </c>
      <c r="H977" s="26" t="s">
        <v>29</v>
      </c>
      <c r="I977" s="26" t="s">
        <v>3061</v>
      </c>
    </row>
    <row r="978" spans="1:9" ht="66">
      <c r="A978" s="238">
        <v>976</v>
      </c>
      <c r="B978" s="28" t="s">
        <v>2185</v>
      </c>
      <c r="C978" s="37" t="s">
        <v>2186</v>
      </c>
      <c r="D978" s="37" t="s">
        <v>2187</v>
      </c>
      <c r="E978" s="360" t="s">
        <v>2188</v>
      </c>
      <c r="F978" s="355">
        <v>21849060</v>
      </c>
      <c r="G978" s="355" t="s">
        <v>2142</v>
      </c>
      <c r="H978" s="26" t="s">
        <v>29</v>
      </c>
      <c r="I978" s="26" t="s">
        <v>3061</v>
      </c>
    </row>
    <row r="979" spans="1:9" ht="148.5">
      <c r="A979" s="238">
        <v>977</v>
      </c>
      <c r="B979" s="28" t="s">
        <v>2185</v>
      </c>
      <c r="C979" s="37" t="s">
        <v>2189</v>
      </c>
      <c r="D979" s="37" t="s">
        <v>2190</v>
      </c>
      <c r="E979" s="354" t="s">
        <v>2191</v>
      </c>
      <c r="F979" s="355">
        <v>1033424</v>
      </c>
      <c r="G979" s="355" t="s">
        <v>2142</v>
      </c>
      <c r="H979" s="26" t="s">
        <v>29</v>
      </c>
      <c r="I979" s="26" t="s">
        <v>3061</v>
      </c>
    </row>
    <row r="980" spans="1:9" ht="132">
      <c r="A980" s="238">
        <v>978</v>
      </c>
      <c r="B980" s="28" t="s">
        <v>2185</v>
      </c>
      <c r="C980" s="37" t="s">
        <v>2192</v>
      </c>
      <c r="D980" s="37" t="s">
        <v>2193</v>
      </c>
      <c r="E980" s="354" t="s">
        <v>2194</v>
      </c>
      <c r="F980" s="355">
        <v>10819718</v>
      </c>
      <c r="G980" s="355" t="s">
        <v>2142</v>
      </c>
      <c r="H980" s="26" t="s">
        <v>29</v>
      </c>
      <c r="I980" s="26" t="s">
        <v>3061</v>
      </c>
    </row>
    <row r="981" spans="1:9" ht="132">
      <c r="A981" s="238">
        <v>979</v>
      </c>
      <c r="B981" s="28" t="s">
        <v>2185</v>
      </c>
      <c r="C981" s="37" t="s">
        <v>2195</v>
      </c>
      <c r="D981" s="37" t="s">
        <v>2196</v>
      </c>
      <c r="E981" s="354" t="s">
        <v>2197</v>
      </c>
      <c r="F981" s="355">
        <v>1059779</v>
      </c>
      <c r="G981" s="355" t="s">
        <v>2142</v>
      </c>
      <c r="H981" s="26" t="s">
        <v>29</v>
      </c>
      <c r="I981" s="26" t="s">
        <v>3061</v>
      </c>
    </row>
    <row r="982" spans="1:9" ht="165">
      <c r="A982" s="238">
        <v>980</v>
      </c>
      <c r="B982" s="28" t="s">
        <v>2185</v>
      </c>
      <c r="C982" s="37" t="s">
        <v>2198</v>
      </c>
      <c r="D982" s="37" t="s">
        <v>2199</v>
      </c>
      <c r="E982" s="354" t="s">
        <v>2200</v>
      </c>
      <c r="F982" s="355">
        <v>4564693</v>
      </c>
      <c r="G982" s="355" t="s">
        <v>2142</v>
      </c>
      <c r="H982" s="26" t="s">
        <v>29</v>
      </c>
      <c r="I982" s="26" t="s">
        <v>3061</v>
      </c>
    </row>
    <row r="983" spans="1:9" ht="132">
      <c r="A983" s="238">
        <v>981</v>
      </c>
      <c r="B983" s="28" t="s">
        <v>2185</v>
      </c>
      <c r="C983" s="37" t="s">
        <v>2201</v>
      </c>
      <c r="D983" s="37" t="s">
        <v>2202</v>
      </c>
      <c r="E983" s="354" t="s">
        <v>2203</v>
      </c>
      <c r="F983" s="355">
        <v>3818189</v>
      </c>
      <c r="G983" s="355" t="s">
        <v>2142</v>
      </c>
      <c r="H983" s="26" t="s">
        <v>29</v>
      </c>
      <c r="I983" s="26" t="s">
        <v>3061</v>
      </c>
    </row>
    <row r="984" spans="1:9" ht="132">
      <c r="A984" s="238">
        <v>982</v>
      </c>
      <c r="B984" s="28" t="s">
        <v>2185</v>
      </c>
      <c r="C984" s="37" t="s">
        <v>2204</v>
      </c>
      <c r="D984" s="37" t="s">
        <v>2205</v>
      </c>
      <c r="E984" s="354" t="s">
        <v>2206</v>
      </c>
      <c r="F984" s="355">
        <v>330125</v>
      </c>
      <c r="G984" s="355" t="s">
        <v>2142</v>
      </c>
      <c r="H984" s="26" t="s">
        <v>52</v>
      </c>
      <c r="I984" s="26" t="s">
        <v>3061</v>
      </c>
    </row>
    <row r="985" spans="1:9" ht="66">
      <c r="A985" s="238">
        <v>983</v>
      </c>
      <c r="B985" s="28" t="s">
        <v>2207</v>
      </c>
      <c r="C985" s="37" t="s">
        <v>2208</v>
      </c>
      <c r="D985" s="37" t="s">
        <v>2209</v>
      </c>
      <c r="E985" s="360" t="s">
        <v>2210</v>
      </c>
      <c r="F985" s="361">
        <v>180954</v>
      </c>
      <c r="G985" s="355" t="s">
        <v>2142</v>
      </c>
      <c r="H985" s="26" t="s">
        <v>52</v>
      </c>
      <c r="I985" s="26" t="s">
        <v>3061</v>
      </c>
    </row>
    <row r="986" spans="1:9" ht="115.5">
      <c r="A986" s="238">
        <v>984</v>
      </c>
      <c r="B986" s="28" t="s">
        <v>2211</v>
      </c>
      <c r="C986" s="37" t="s">
        <v>2212</v>
      </c>
      <c r="D986" s="37" t="s">
        <v>2213</v>
      </c>
      <c r="E986" s="354" t="s">
        <v>2214</v>
      </c>
      <c r="F986" s="355">
        <v>463409</v>
      </c>
      <c r="G986" s="355" t="s">
        <v>2142</v>
      </c>
      <c r="H986" s="26" t="s">
        <v>49</v>
      </c>
      <c r="I986" s="26" t="s">
        <v>3061</v>
      </c>
    </row>
    <row r="987" spans="1:9" ht="132">
      <c r="A987" s="238">
        <v>985</v>
      </c>
      <c r="B987" s="28" t="s">
        <v>2215</v>
      </c>
      <c r="C987" s="37" t="s">
        <v>2216</v>
      </c>
      <c r="D987" s="37" t="s">
        <v>2217</v>
      </c>
      <c r="E987" s="354" t="s">
        <v>2218</v>
      </c>
      <c r="F987" s="355">
        <v>1093057</v>
      </c>
      <c r="G987" s="355" t="s">
        <v>2142</v>
      </c>
      <c r="H987" s="26" t="s">
        <v>52</v>
      </c>
      <c r="I987" s="26" t="s">
        <v>3061</v>
      </c>
    </row>
    <row r="988" spans="1:9" ht="99">
      <c r="A988" s="238">
        <v>986</v>
      </c>
      <c r="B988" s="28" t="s">
        <v>2219</v>
      </c>
      <c r="C988" s="37" t="s">
        <v>2220</v>
      </c>
      <c r="D988" s="37" t="s">
        <v>2221</v>
      </c>
      <c r="E988" s="354" t="s">
        <v>2222</v>
      </c>
      <c r="F988" s="355">
        <v>21327838</v>
      </c>
      <c r="G988" s="355" t="s">
        <v>2142</v>
      </c>
      <c r="H988" s="26" t="s">
        <v>29</v>
      </c>
      <c r="I988" s="26" t="s">
        <v>3061</v>
      </c>
    </row>
    <row r="989" spans="1:9" ht="99">
      <c r="A989" s="238">
        <v>987</v>
      </c>
      <c r="B989" s="28" t="s">
        <v>2219</v>
      </c>
      <c r="C989" s="37" t="s">
        <v>2223</v>
      </c>
      <c r="D989" s="37" t="s">
        <v>2224</v>
      </c>
      <c r="E989" s="362" t="s">
        <v>2225</v>
      </c>
      <c r="F989" s="355">
        <v>260098</v>
      </c>
      <c r="G989" s="355" t="s">
        <v>2142</v>
      </c>
      <c r="H989" s="26" t="s">
        <v>29</v>
      </c>
      <c r="I989" s="26" t="s">
        <v>3061</v>
      </c>
    </row>
    <row r="990" spans="1:9" ht="99">
      <c r="A990" s="238">
        <v>988</v>
      </c>
      <c r="B990" s="28" t="s">
        <v>2219</v>
      </c>
      <c r="C990" s="37" t="s">
        <v>2226</v>
      </c>
      <c r="D990" s="37" t="s">
        <v>2227</v>
      </c>
      <c r="E990" s="354" t="s">
        <v>2228</v>
      </c>
      <c r="F990" s="355">
        <v>112744</v>
      </c>
      <c r="G990" s="355" t="s">
        <v>2142</v>
      </c>
      <c r="H990" s="26" t="s">
        <v>29</v>
      </c>
      <c r="I990" s="26" t="s">
        <v>3061</v>
      </c>
    </row>
    <row r="991" spans="1:9" ht="99">
      <c r="A991" s="238">
        <v>989</v>
      </c>
      <c r="B991" s="28" t="s">
        <v>2219</v>
      </c>
      <c r="C991" s="37" t="s">
        <v>2229</v>
      </c>
      <c r="D991" s="37" t="s">
        <v>2230</v>
      </c>
      <c r="E991" s="354" t="s">
        <v>2231</v>
      </c>
      <c r="F991" s="355">
        <v>11085419</v>
      </c>
      <c r="G991" s="355" t="s">
        <v>2142</v>
      </c>
      <c r="H991" s="26" t="s">
        <v>29</v>
      </c>
      <c r="I991" s="26" t="s">
        <v>3061</v>
      </c>
    </row>
    <row r="992" spans="1:9" ht="165">
      <c r="A992" s="238">
        <v>990</v>
      </c>
      <c r="B992" s="28" t="s">
        <v>2219</v>
      </c>
      <c r="C992" s="37" t="s">
        <v>2195</v>
      </c>
      <c r="D992" s="37" t="s">
        <v>2232</v>
      </c>
      <c r="E992" s="354" t="s">
        <v>2233</v>
      </c>
      <c r="F992" s="355">
        <v>33988403</v>
      </c>
      <c r="G992" s="355" t="s">
        <v>2142</v>
      </c>
      <c r="H992" s="26" t="s">
        <v>29</v>
      </c>
      <c r="I992" s="26" t="s">
        <v>3061</v>
      </c>
    </row>
    <row r="993" spans="1:9" ht="132">
      <c r="A993" s="238">
        <v>991</v>
      </c>
      <c r="B993" s="28" t="s">
        <v>2219</v>
      </c>
      <c r="C993" s="37" t="s">
        <v>2234</v>
      </c>
      <c r="D993" s="37" t="s">
        <v>2235</v>
      </c>
      <c r="E993" s="354" t="s">
        <v>2236</v>
      </c>
      <c r="F993" s="355">
        <v>3556431</v>
      </c>
      <c r="G993" s="355" t="s">
        <v>2142</v>
      </c>
      <c r="H993" s="26" t="s">
        <v>29</v>
      </c>
      <c r="I993" s="26" t="s">
        <v>3061</v>
      </c>
    </row>
    <row r="994" spans="1:9" ht="132">
      <c r="A994" s="238">
        <v>992</v>
      </c>
      <c r="B994" s="28" t="s">
        <v>2219</v>
      </c>
      <c r="C994" s="37" t="s">
        <v>2234</v>
      </c>
      <c r="D994" s="37" t="s">
        <v>2237</v>
      </c>
      <c r="E994" s="354" t="s">
        <v>2238</v>
      </c>
      <c r="F994" s="355">
        <v>790000</v>
      </c>
      <c r="G994" s="355" t="s">
        <v>2142</v>
      </c>
      <c r="H994" s="26" t="s">
        <v>77</v>
      </c>
      <c r="I994" s="26" t="s">
        <v>3061</v>
      </c>
    </row>
    <row r="995" spans="1:9" ht="99">
      <c r="A995" s="238">
        <v>993</v>
      </c>
      <c r="B995" s="28" t="s">
        <v>2219</v>
      </c>
      <c r="C995" s="37" t="s">
        <v>2239</v>
      </c>
      <c r="D995" s="37" t="s">
        <v>2240</v>
      </c>
      <c r="E995" s="362" t="s">
        <v>2241</v>
      </c>
      <c r="F995" s="355">
        <v>676401.5</v>
      </c>
      <c r="G995" s="355" t="s">
        <v>2142</v>
      </c>
      <c r="H995" s="26" t="s">
        <v>29</v>
      </c>
      <c r="I995" s="26" t="s">
        <v>3061</v>
      </c>
    </row>
    <row r="996" spans="1:9" ht="148.5">
      <c r="A996" s="238">
        <v>994</v>
      </c>
      <c r="B996" s="28" t="s">
        <v>2242</v>
      </c>
      <c r="C996" s="37" t="s">
        <v>2189</v>
      </c>
      <c r="D996" s="37" t="s">
        <v>2243</v>
      </c>
      <c r="E996" s="354" t="s">
        <v>2191</v>
      </c>
      <c r="F996" s="355">
        <v>6918247</v>
      </c>
      <c r="G996" s="355" t="s">
        <v>2142</v>
      </c>
      <c r="H996" s="26" t="s">
        <v>29</v>
      </c>
      <c r="I996" s="26" t="s">
        <v>3061</v>
      </c>
    </row>
    <row r="997" spans="1:9" ht="165">
      <c r="A997" s="238">
        <v>995</v>
      </c>
      <c r="B997" s="28" t="s">
        <v>2242</v>
      </c>
      <c r="C997" s="37" t="s">
        <v>2234</v>
      </c>
      <c r="D997" s="37" t="s">
        <v>2244</v>
      </c>
      <c r="E997" s="354" t="s">
        <v>2245</v>
      </c>
      <c r="F997" s="355">
        <v>2416769</v>
      </c>
      <c r="G997" s="355" t="s">
        <v>2142</v>
      </c>
      <c r="H997" s="26" t="s">
        <v>29</v>
      </c>
      <c r="I997" s="26" t="s">
        <v>3061</v>
      </c>
    </row>
    <row r="998" spans="1:9" ht="66">
      <c r="A998" s="238">
        <v>996</v>
      </c>
      <c r="B998" s="28" t="s">
        <v>2242</v>
      </c>
      <c r="C998" s="37" t="s">
        <v>2208</v>
      </c>
      <c r="D998" s="37" t="s">
        <v>2246</v>
      </c>
      <c r="E998" s="360" t="s">
        <v>2247</v>
      </c>
      <c r="F998" s="361">
        <v>4825387</v>
      </c>
      <c r="G998" s="355" t="s">
        <v>2142</v>
      </c>
      <c r="H998" s="26" t="s">
        <v>29</v>
      </c>
      <c r="I998" s="26" t="s">
        <v>3061</v>
      </c>
    </row>
    <row r="999" spans="1:9" ht="99">
      <c r="A999" s="238">
        <v>997</v>
      </c>
      <c r="B999" s="28" t="s">
        <v>2242</v>
      </c>
      <c r="C999" s="37" t="s">
        <v>2248</v>
      </c>
      <c r="D999" s="37" t="s">
        <v>2249</v>
      </c>
      <c r="E999" s="362" t="s">
        <v>2250</v>
      </c>
      <c r="F999" s="355">
        <v>513796</v>
      </c>
      <c r="G999" s="355" t="s">
        <v>2142</v>
      </c>
      <c r="H999" s="26" t="s">
        <v>29</v>
      </c>
      <c r="I999" s="26" t="s">
        <v>3061</v>
      </c>
    </row>
    <row r="1000" spans="1:9" ht="99">
      <c r="A1000" s="238">
        <v>998</v>
      </c>
      <c r="B1000" s="28" t="s">
        <v>2251</v>
      </c>
      <c r="C1000" s="37" t="s">
        <v>2252</v>
      </c>
      <c r="D1000" s="37" t="s">
        <v>2253</v>
      </c>
      <c r="E1000" s="354" t="s">
        <v>2254</v>
      </c>
      <c r="F1000" s="355">
        <v>51022822</v>
      </c>
      <c r="G1000" s="355" t="s">
        <v>2142</v>
      </c>
      <c r="H1000" s="26" t="s">
        <v>29</v>
      </c>
      <c r="I1000" s="26" t="s">
        <v>3061</v>
      </c>
    </row>
    <row r="1001" spans="1:9" ht="132">
      <c r="A1001" s="238">
        <v>999</v>
      </c>
      <c r="B1001" s="28" t="s">
        <v>2251</v>
      </c>
      <c r="C1001" s="37" t="s">
        <v>2195</v>
      </c>
      <c r="D1001" s="37" t="s">
        <v>2255</v>
      </c>
      <c r="E1001" s="354" t="s">
        <v>2256</v>
      </c>
      <c r="F1001" s="355">
        <v>20010947</v>
      </c>
      <c r="G1001" s="355" t="s">
        <v>2142</v>
      </c>
      <c r="H1001" s="26" t="s">
        <v>87</v>
      </c>
      <c r="I1001" s="26" t="s">
        <v>3061</v>
      </c>
    </row>
    <row r="1002" spans="1:9" ht="165">
      <c r="A1002" s="238">
        <v>1000</v>
      </c>
      <c r="B1002" s="28" t="s">
        <v>2251</v>
      </c>
      <c r="C1002" s="37" t="s">
        <v>2192</v>
      </c>
      <c r="D1002" s="37" t="s">
        <v>2257</v>
      </c>
      <c r="E1002" s="354" t="s">
        <v>2258</v>
      </c>
      <c r="F1002" s="355">
        <v>5306213</v>
      </c>
      <c r="G1002" s="355" t="s">
        <v>2142</v>
      </c>
      <c r="H1002" s="26" t="s">
        <v>29</v>
      </c>
      <c r="I1002" s="26" t="s">
        <v>3061</v>
      </c>
    </row>
    <row r="1003" spans="1:9" ht="82.5">
      <c r="A1003" s="238">
        <v>1001</v>
      </c>
      <c r="B1003" s="28" t="s">
        <v>2251</v>
      </c>
      <c r="C1003" s="37" t="s">
        <v>2259</v>
      </c>
      <c r="D1003" s="37" t="s">
        <v>2260</v>
      </c>
      <c r="E1003" s="354" t="s">
        <v>2261</v>
      </c>
      <c r="F1003" s="355">
        <v>3789872.55</v>
      </c>
      <c r="G1003" s="355" t="s">
        <v>2142</v>
      </c>
      <c r="H1003" s="26" t="s">
        <v>52</v>
      </c>
      <c r="I1003" s="26" t="s">
        <v>3061</v>
      </c>
    </row>
    <row r="1004" spans="1:9" ht="82.5">
      <c r="A1004" s="238">
        <v>1002</v>
      </c>
      <c r="B1004" s="28" t="s">
        <v>2251</v>
      </c>
      <c r="C1004" s="37" t="s">
        <v>2262</v>
      </c>
      <c r="D1004" s="37" t="s">
        <v>2263</v>
      </c>
      <c r="E1004" s="354" t="s">
        <v>2264</v>
      </c>
      <c r="F1004" s="355">
        <v>111660</v>
      </c>
      <c r="G1004" s="355" t="s">
        <v>2142</v>
      </c>
      <c r="H1004" s="26" t="s">
        <v>47</v>
      </c>
      <c r="I1004" s="26" t="s">
        <v>3061</v>
      </c>
    </row>
    <row r="1005" spans="1:9" ht="82.5">
      <c r="A1005" s="238">
        <v>1003</v>
      </c>
      <c r="B1005" s="28" t="s">
        <v>2251</v>
      </c>
      <c r="C1005" s="37" t="s">
        <v>2265</v>
      </c>
      <c r="D1005" s="37" t="s">
        <v>2266</v>
      </c>
      <c r="E1005" s="354" t="s">
        <v>2267</v>
      </c>
      <c r="F1005" s="355">
        <v>3039519</v>
      </c>
      <c r="G1005" s="355" t="s">
        <v>2142</v>
      </c>
      <c r="H1005" s="26" t="s">
        <v>47</v>
      </c>
      <c r="I1005" s="26" t="s">
        <v>3061</v>
      </c>
    </row>
    <row r="1006" spans="1:9" ht="82.5">
      <c r="A1006" s="238">
        <v>1004</v>
      </c>
      <c r="B1006" s="28" t="s">
        <v>2251</v>
      </c>
      <c r="C1006" s="37" t="s">
        <v>2268</v>
      </c>
      <c r="D1006" s="37" t="s">
        <v>2269</v>
      </c>
      <c r="E1006" s="354" t="s">
        <v>2270</v>
      </c>
      <c r="F1006" s="355">
        <v>154865</v>
      </c>
      <c r="G1006" s="355" t="s">
        <v>2142</v>
      </c>
      <c r="H1006" s="26" t="s">
        <v>49</v>
      </c>
      <c r="I1006" s="26" t="s">
        <v>3061</v>
      </c>
    </row>
    <row r="1007" spans="1:9" ht="148.5">
      <c r="A1007" s="238">
        <v>1005</v>
      </c>
      <c r="B1007" s="28" t="s">
        <v>2271</v>
      </c>
      <c r="C1007" s="37" t="s">
        <v>2272</v>
      </c>
      <c r="D1007" s="37" t="s">
        <v>2273</v>
      </c>
      <c r="E1007" s="360" t="s">
        <v>2274</v>
      </c>
      <c r="F1007" s="355">
        <v>1865869</v>
      </c>
      <c r="G1007" s="355" t="s">
        <v>2142</v>
      </c>
      <c r="H1007" s="26" t="s">
        <v>29</v>
      </c>
      <c r="I1007" s="26" t="s">
        <v>3061</v>
      </c>
    </row>
    <row r="1008" spans="1:9" ht="82.5">
      <c r="A1008" s="238">
        <v>1006</v>
      </c>
      <c r="B1008" s="28" t="s">
        <v>2271</v>
      </c>
      <c r="C1008" s="37" t="s">
        <v>2275</v>
      </c>
      <c r="D1008" s="37" t="s">
        <v>2276</v>
      </c>
      <c r="E1008" s="354" t="s">
        <v>2277</v>
      </c>
      <c r="F1008" s="355">
        <v>97937</v>
      </c>
      <c r="G1008" s="355" t="s">
        <v>2142</v>
      </c>
      <c r="H1008" s="26" t="s">
        <v>2166</v>
      </c>
      <c r="I1008" s="26" t="s">
        <v>3061</v>
      </c>
    </row>
    <row r="1009" spans="1:9" ht="82.5">
      <c r="A1009" s="238">
        <v>1007</v>
      </c>
      <c r="B1009" s="28" t="s">
        <v>2271</v>
      </c>
      <c r="C1009" s="37" t="s">
        <v>2278</v>
      </c>
      <c r="D1009" s="37" t="s">
        <v>2279</v>
      </c>
      <c r="E1009" s="354" t="s">
        <v>2280</v>
      </c>
      <c r="F1009" s="355">
        <v>27600</v>
      </c>
      <c r="G1009" s="355" t="s">
        <v>2142</v>
      </c>
      <c r="H1009" s="26" t="s">
        <v>47</v>
      </c>
      <c r="I1009" s="26" t="s">
        <v>3061</v>
      </c>
    </row>
    <row r="1010" spans="1:9" ht="66">
      <c r="A1010" s="238">
        <v>1008</v>
      </c>
      <c r="B1010" s="28" t="s">
        <v>2271</v>
      </c>
      <c r="C1010" s="37" t="s">
        <v>2281</v>
      </c>
      <c r="D1010" s="37" t="s">
        <v>2282</v>
      </c>
      <c r="E1010" s="354" t="s">
        <v>2283</v>
      </c>
      <c r="F1010" s="355">
        <v>492696</v>
      </c>
      <c r="G1010" s="355" t="s">
        <v>2142</v>
      </c>
      <c r="H1010" s="26" t="s">
        <v>47</v>
      </c>
      <c r="I1010" s="26" t="s">
        <v>3061</v>
      </c>
    </row>
    <row r="1011" spans="1:9" ht="82.5">
      <c r="A1011" s="238">
        <v>1009</v>
      </c>
      <c r="B1011" s="28" t="s">
        <v>2271</v>
      </c>
      <c r="C1011" s="37" t="s">
        <v>2284</v>
      </c>
      <c r="D1011" s="37" t="s">
        <v>2285</v>
      </c>
      <c r="E1011" s="354" t="s">
        <v>2286</v>
      </c>
      <c r="F1011" s="355">
        <v>60918</v>
      </c>
      <c r="G1011" s="355" t="s">
        <v>2142</v>
      </c>
      <c r="H1011" s="26" t="s">
        <v>47</v>
      </c>
      <c r="I1011" s="26" t="s">
        <v>3061</v>
      </c>
    </row>
    <row r="1012" spans="1:9" ht="82.5">
      <c r="A1012" s="238">
        <v>1010</v>
      </c>
      <c r="B1012" s="28" t="s">
        <v>2271</v>
      </c>
      <c r="C1012" s="37" t="s">
        <v>2287</v>
      </c>
      <c r="D1012" s="37" t="s">
        <v>2288</v>
      </c>
      <c r="E1012" s="354" t="s">
        <v>2289</v>
      </c>
      <c r="F1012" s="355">
        <v>64205126</v>
      </c>
      <c r="G1012" s="355" t="s">
        <v>2142</v>
      </c>
      <c r="H1012" s="26" t="s">
        <v>29</v>
      </c>
      <c r="I1012" s="26" t="s">
        <v>3061</v>
      </c>
    </row>
    <row r="1013" spans="1:9" ht="99">
      <c r="A1013" s="238">
        <v>1011</v>
      </c>
      <c r="B1013" s="28" t="s">
        <v>2290</v>
      </c>
      <c r="C1013" s="37" t="s">
        <v>2291</v>
      </c>
      <c r="D1013" s="37" t="s">
        <v>2292</v>
      </c>
      <c r="E1013" s="354" t="s">
        <v>2293</v>
      </c>
      <c r="F1013" s="355">
        <v>4699512</v>
      </c>
      <c r="G1013" s="355" t="s">
        <v>2142</v>
      </c>
      <c r="H1013" s="26" t="s">
        <v>29</v>
      </c>
      <c r="I1013" s="26" t="s">
        <v>3061</v>
      </c>
    </row>
    <row r="1014" spans="1:9" ht="99">
      <c r="A1014" s="238">
        <v>1012</v>
      </c>
      <c r="B1014" s="28" t="s">
        <v>2290</v>
      </c>
      <c r="C1014" s="37" t="s">
        <v>2294</v>
      </c>
      <c r="D1014" s="37" t="s">
        <v>2295</v>
      </c>
      <c r="E1014" s="354" t="s">
        <v>2296</v>
      </c>
      <c r="F1014" s="355">
        <v>25154800</v>
      </c>
      <c r="G1014" s="355" t="s">
        <v>2142</v>
      </c>
      <c r="H1014" s="26" t="s">
        <v>29</v>
      </c>
      <c r="I1014" s="26" t="s">
        <v>3061</v>
      </c>
    </row>
    <row r="1015" spans="1:9" ht="99">
      <c r="A1015" s="238">
        <v>1013</v>
      </c>
      <c r="B1015" s="28" t="s">
        <v>2290</v>
      </c>
      <c r="C1015" s="37" t="s">
        <v>2297</v>
      </c>
      <c r="D1015" s="37" t="s">
        <v>2298</v>
      </c>
      <c r="E1015" s="354" t="s">
        <v>2299</v>
      </c>
      <c r="F1015" s="355">
        <v>2594900</v>
      </c>
      <c r="G1015" s="355" t="s">
        <v>2142</v>
      </c>
      <c r="H1015" s="26" t="s">
        <v>29</v>
      </c>
      <c r="I1015" s="26" t="s">
        <v>3061</v>
      </c>
    </row>
    <row r="1016" spans="1:9" ht="148.5">
      <c r="A1016" s="238">
        <v>1014</v>
      </c>
      <c r="B1016" s="28" t="s">
        <v>2290</v>
      </c>
      <c r="C1016" s="37" t="s">
        <v>2300</v>
      </c>
      <c r="D1016" s="37" t="s">
        <v>2301</v>
      </c>
      <c r="E1016" s="354" t="s">
        <v>2302</v>
      </c>
      <c r="F1016" s="355">
        <v>9283908</v>
      </c>
      <c r="G1016" s="355" t="s">
        <v>2142</v>
      </c>
      <c r="H1016" s="26" t="s">
        <v>29</v>
      </c>
      <c r="I1016" s="26" t="s">
        <v>3061</v>
      </c>
    </row>
    <row r="1017" spans="1:9" ht="148.5">
      <c r="A1017" s="238">
        <v>1015</v>
      </c>
      <c r="B1017" s="28" t="s">
        <v>2290</v>
      </c>
      <c r="C1017" s="37" t="s">
        <v>2300</v>
      </c>
      <c r="D1017" s="37" t="s">
        <v>2303</v>
      </c>
      <c r="E1017" s="354" t="s">
        <v>2302</v>
      </c>
      <c r="F1017" s="355">
        <v>105262741</v>
      </c>
      <c r="G1017" s="355" t="s">
        <v>2142</v>
      </c>
      <c r="H1017" s="26" t="s">
        <v>29</v>
      </c>
      <c r="I1017" s="26" t="s">
        <v>3061</v>
      </c>
    </row>
    <row r="1018" spans="1:9" ht="99">
      <c r="A1018" s="238">
        <v>1016</v>
      </c>
      <c r="B1018" s="28" t="s">
        <v>2290</v>
      </c>
      <c r="C1018" s="37" t="s">
        <v>2304</v>
      </c>
      <c r="D1018" s="37" t="s">
        <v>2305</v>
      </c>
      <c r="E1018" s="354" t="s">
        <v>2306</v>
      </c>
      <c r="F1018" s="355">
        <v>186152</v>
      </c>
      <c r="G1018" s="355" t="s">
        <v>2142</v>
      </c>
      <c r="H1018" s="26" t="s">
        <v>47</v>
      </c>
      <c r="I1018" s="26" t="s">
        <v>3061</v>
      </c>
    </row>
    <row r="1019" spans="1:9" ht="82.5">
      <c r="A1019" s="238">
        <v>1017</v>
      </c>
      <c r="B1019" s="28" t="s">
        <v>2290</v>
      </c>
      <c r="C1019" s="37" t="s">
        <v>2307</v>
      </c>
      <c r="D1019" s="37" t="s">
        <v>2308</v>
      </c>
      <c r="E1019" s="354" t="s">
        <v>2309</v>
      </c>
      <c r="F1019" s="355">
        <v>1612557</v>
      </c>
      <c r="G1019" s="355" t="s">
        <v>2142</v>
      </c>
      <c r="H1019" s="26" t="s">
        <v>29</v>
      </c>
      <c r="I1019" s="26" t="s">
        <v>3061</v>
      </c>
    </row>
    <row r="1020" spans="1:9" ht="115.5">
      <c r="A1020" s="238">
        <v>1018</v>
      </c>
      <c r="B1020" s="28" t="s">
        <v>2310</v>
      </c>
      <c r="C1020" s="37" t="s">
        <v>2291</v>
      </c>
      <c r="D1020" s="37" t="s">
        <v>2311</v>
      </c>
      <c r="E1020" s="354" t="s">
        <v>2293</v>
      </c>
      <c r="F1020" s="355">
        <v>3038421</v>
      </c>
      <c r="G1020" s="355" t="s">
        <v>2142</v>
      </c>
      <c r="H1020" s="26" t="s">
        <v>29</v>
      </c>
      <c r="I1020" s="26" t="s">
        <v>3061</v>
      </c>
    </row>
    <row r="1021" spans="1:9" ht="99">
      <c r="A1021" s="238">
        <v>1019</v>
      </c>
      <c r="B1021" s="28" t="s">
        <v>2310</v>
      </c>
      <c r="C1021" s="37" t="s">
        <v>2272</v>
      </c>
      <c r="D1021" s="37" t="s">
        <v>2312</v>
      </c>
      <c r="E1021" s="354" t="s">
        <v>2313</v>
      </c>
      <c r="F1021" s="355">
        <v>578550</v>
      </c>
      <c r="G1021" s="355" t="s">
        <v>2142</v>
      </c>
      <c r="H1021" s="26" t="s">
        <v>29</v>
      </c>
      <c r="I1021" s="26" t="s">
        <v>3061</v>
      </c>
    </row>
    <row r="1022" spans="1:9" ht="99">
      <c r="A1022" s="238">
        <v>1020</v>
      </c>
      <c r="B1022" s="28" t="s">
        <v>2310</v>
      </c>
      <c r="C1022" s="37" t="s">
        <v>2272</v>
      </c>
      <c r="D1022" s="37" t="s">
        <v>2314</v>
      </c>
      <c r="E1022" s="354" t="s">
        <v>2315</v>
      </c>
      <c r="F1022" s="355">
        <v>5457276</v>
      </c>
      <c r="G1022" s="355" t="s">
        <v>2142</v>
      </c>
      <c r="H1022" s="26" t="s">
        <v>87</v>
      </c>
      <c r="I1022" s="26" t="s">
        <v>3061</v>
      </c>
    </row>
    <row r="1023" spans="1:9" ht="148.5">
      <c r="A1023" s="238">
        <v>1021</v>
      </c>
      <c r="B1023" s="28" t="s">
        <v>2310</v>
      </c>
      <c r="C1023" s="37" t="s">
        <v>2316</v>
      </c>
      <c r="D1023" s="37" t="s">
        <v>2317</v>
      </c>
      <c r="E1023" s="354" t="s">
        <v>2318</v>
      </c>
      <c r="F1023" s="355">
        <v>4196705</v>
      </c>
      <c r="G1023" s="355" t="s">
        <v>2142</v>
      </c>
      <c r="H1023" s="26" t="s">
        <v>29</v>
      </c>
      <c r="I1023" s="26" t="s">
        <v>3061</v>
      </c>
    </row>
    <row r="1024" spans="1:9" ht="132">
      <c r="A1024" s="238">
        <v>1022</v>
      </c>
      <c r="B1024" s="28" t="s">
        <v>2310</v>
      </c>
      <c r="C1024" s="37" t="s">
        <v>2234</v>
      </c>
      <c r="D1024" s="37" t="s">
        <v>2319</v>
      </c>
      <c r="E1024" s="354" t="s">
        <v>2320</v>
      </c>
      <c r="F1024" s="355">
        <v>3036823</v>
      </c>
      <c r="G1024" s="355" t="s">
        <v>2142</v>
      </c>
      <c r="H1024" s="26" t="s">
        <v>47</v>
      </c>
      <c r="I1024" s="26" t="s">
        <v>3061</v>
      </c>
    </row>
    <row r="1025" spans="1:9" ht="99">
      <c r="A1025" s="238">
        <v>1023</v>
      </c>
      <c r="B1025" s="28" t="s">
        <v>2310</v>
      </c>
      <c r="C1025" s="37" t="s">
        <v>2321</v>
      </c>
      <c r="D1025" s="37" t="s">
        <v>2322</v>
      </c>
      <c r="E1025" s="354" t="s">
        <v>2323</v>
      </c>
      <c r="F1025" s="355">
        <v>212100</v>
      </c>
      <c r="G1025" s="355" t="s">
        <v>2142</v>
      </c>
      <c r="H1025" s="26" t="s">
        <v>77</v>
      </c>
      <c r="I1025" s="26" t="s">
        <v>3061</v>
      </c>
    </row>
    <row r="1026" spans="1:9" ht="82.5">
      <c r="A1026" s="238">
        <v>1024</v>
      </c>
      <c r="B1026" s="28" t="s">
        <v>2310</v>
      </c>
      <c r="C1026" s="37" t="s">
        <v>2324</v>
      </c>
      <c r="D1026" s="37" t="s">
        <v>2325</v>
      </c>
      <c r="E1026" s="354" t="s">
        <v>2323</v>
      </c>
      <c r="F1026" s="355">
        <v>128500</v>
      </c>
      <c r="G1026" s="355" t="s">
        <v>2142</v>
      </c>
      <c r="H1026" s="26" t="s">
        <v>77</v>
      </c>
      <c r="I1026" s="26" t="s">
        <v>3061</v>
      </c>
    </row>
    <row r="1027" spans="1:9" ht="82.5">
      <c r="A1027" s="238">
        <v>1025</v>
      </c>
      <c r="B1027" s="28" t="s">
        <v>2310</v>
      </c>
      <c r="C1027" s="37" t="s">
        <v>2326</v>
      </c>
      <c r="D1027" s="37" t="s">
        <v>2327</v>
      </c>
      <c r="E1027" s="354" t="s">
        <v>2328</v>
      </c>
      <c r="F1027" s="355">
        <v>456064</v>
      </c>
      <c r="G1027" s="355" t="s">
        <v>2142</v>
      </c>
      <c r="H1027" s="26" t="s">
        <v>47</v>
      </c>
      <c r="I1027" s="26" t="s">
        <v>3061</v>
      </c>
    </row>
    <row r="1028" spans="1:9" ht="82.5">
      <c r="A1028" s="238">
        <v>1026</v>
      </c>
      <c r="B1028" s="28" t="s">
        <v>2310</v>
      </c>
      <c r="C1028" s="37" t="s">
        <v>2329</v>
      </c>
      <c r="D1028" s="37" t="s">
        <v>2330</v>
      </c>
      <c r="E1028" s="354" t="s">
        <v>2331</v>
      </c>
      <c r="F1028" s="355">
        <v>14400</v>
      </c>
      <c r="G1028" s="355" t="s">
        <v>2142</v>
      </c>
      <c r="H1028" s="26" t="s">
        <v>2166</v>
      </c>
      <c r="I1028" s="26" t="s">
        <v>3061</v>
      </c>
    </row>
    <row r="1029" spans="1:9" ht="99">
      <c r="A1029" s="238">
        <v>1027</v>
      </c>
      <c r="B1029" s="28" t="s">
        <v>2332</v>
      </c>
      <c r="C1029" s="37" t="s">
        <v>2333</v>
      </c>
      <c r="D1029" s="37" t="s">
        <v>2334</v>
      </c>
      <c r="E1029" s="354" t="s">
        <v>2222</v>
      </c>
      <c r="F1029" s="355">
        <v>702440</v>
      </c>
      <c r="G1029" s="355" t="s">
        <v>2142</v>
      </c>
      <c r="H1029" s="26" t="s">
        <v>29</v>
      </c>
      <c r="I1029" s="26" t="s">
        <v>3061</v>
      </c>
    </row>
    <row r="1030" spans="1:9" ht="165">
      <c r="A1030" s="238">
        <v>1028</v>
      </c>
      <c r="B1030" s="28" t="s">
        <v>2332</v>
      </c>
      <c r="C1030" s="37" t="s">
        <v>2335</v>
      </c>
      <c r="D1030" s="37" t="s">
        <v>2336</v>
      </c>
      <c r="E1030" s="354" t="s">
        <v>2337</v>
      </c>
      <c r="F1030" s="355">
        <v>22549975</v>
      </c>
      <c r="G1030" s="355" t="s">
        <v>2142</v>
      </c>
      <c r="H1030" s="26" t="s">
        <v>87</v>
      </c>
      <c r="I1030" s="26" t="s">
        <v>3061</v>
      </c>
    </row>
    <row r="1031" spans="1:9" ht="165">
      <c r="A1031" s="238">
        <v>1029</v>
      </c>
      <c r="B1031" s="28" t="s">
        <v>2332</v>
      </c>
      <c r="C1031" s="37" t="s">
        <v>2201</v>
      </c>
      <c r="D1031" s="37" t="s">
        <v>2338</v>
      </c>
      <c r="E1031" s="354" t="s">
        <v>2339</v>
      </c>
      <c r="F1031" s="355">
        <v>56787978</v>
      </c>
      <c r="G1031" s="355" t="s">
        <v>2142</v>
      </c>
      <c r="H1031" s="26" t="s">
        <v>29</v>
      </c>
      <c r="I1031" s="26" t="s">
        <v>3061</v>
      </c>
    </row>
    <row r="1032" spans="1:9" ht="132">
      <c r="A1032" s="238">
        <v>1030</v>
      </c>
      <c r="B1032" s="28" t="s">
        <v>2332</v>
      </c>
      <c r="C1032" s="37" t="s">
        <v>2234</v>
      </c>
      <c r="D1032" s="37" t="s">
        <v>2340</v>
      </c>
      <c r="E1032" s="354" t="s">
        <v>2238</v>
      </c>
      <c r="F1032" s="355">
        <v>1845000</v>
      </c>
      <c r="G1032" s="355" t="s">
        <v>2142</v>
      </c>
      <c r="H1032" s="26" t="s">
        <v>77</v>
      </c>
      <c r="I1032" s="26" t="s">
        <v>3061</v>
      </c>
    </row>
    <row r="1033" spans="1:9" ht="66">
      <c r="A1033" s="238">
        <v>1031</v>
      </c>
      <c r="B1033" s="28" t="s">
        <v>2332</v>
      </c>
      <c r="C1033" s="37" t="s">
        <v>2208</v>
      </c>
      <c r="D1033" s="37" t="s">
        <v>2341</v>
      </c>
      <c r="E1033" s="360" t="s">
        <v>2342</v>
      </c>
      <c r="F1033" s="361">
        <v>37883135</v>
      </c>
      <c r="G1033" s="355" t="s">
        <v>2142</v>
      </c>
      <c r="H1033" s="26" t="s">
        <v>29</v>
      </c>
      <c r="I1033" s="26" t="s">
        <v>3061</v>
      </c>
    </row>
    <row r="1034" spans="1:9" ht="82.5">
      <c r="A1034" s="238">
        <v>1032</v>
      </c>
      <c r="B1034" s="28" t="s">
        <v>2332</v>
      </c>
      <c r="C1034" s="37" t="s">
        <v>2343</v>
      </c>
      <c r="D1034" s="37" t="s">
        <v>2344</v>
      </c>
      <c r="E1034" s="354" t="s">
        <v>2345</v>
      </c>
      <c r="F1034" s="355">
        <v>314017</v>
      </c>
      <c r="G1034" s="355" t="s">
        <v>2142</v>
      </c>
      <c r="H1034" s="26" t="s">
        <v>29</v>
      </c>
      <c r="I1034" s="26" t="s">
        <v>3061</v>
      </c>
    </row>
    <row r="1035" spans="1:9" ht="99">
      <c r="A1035" s="238">
        <v>1033</v>
      </c>
      <c r="B1035" s="28" t="s">
        <v>2332</v>
      </c>
      <c r="C1035" s="37" t="s">
        <v>2346</v>
      </c>
      <c r="D1035" s="37" t="s">
        <v>2347</v>
      </c>
      <c r="E1035" s="354" t="s">
        <v>2171</v>
      </c>
      <c r="F1035" s="355">
        <v>81650.7</v>
      </c>
      <c r="G1035" s="355" t="s">
        <v>2142</v>
      </c>
      <c r="H1035" s="26" t="s">
        <v>1105</v>
      </c>
      <c r="I1035" s="26" t="s">
        <v>3061</v>
      </c>
    </row>
    <row r="1036" spans="1:9" ht="99">
      <c r="A1036" s="238">
        <v>1034</v>
      </c>
      <c r="B1036" s="28" t="s">
        <v>2332</v>
      </c>
      <c r="C1036" s="37" t="s">
        <v>2348</v>
      </c>
      <c r="D1036" s="37" t="s">
        <v>2349</v>
      </c>
      <c r="E1036" s="354" t="s">
        <v>2350</v>
      </c>
      <c r="F1036" s="355">
        <v>745324.22</v>
      </c>
      <c r="G1036" s="355" t="s">
        <v>2142</v>
      </c>
      <c r="H1036" s="26" t="s">
        <v>29</v>
      </c>
      <c r="I1036" s="26" t="s">
        <v>3061</v>
      </c>
    </row>
    <row r="1037" spans="1:9" ht="82.5">
      <c r="A1037" s="238">
        <v>1035</v>
      </c>
      <c r="B1037" s="28" t="s">
        <v>2332</v>
      </c>
      <c r="C1037" s="37" t="s">
        <v>2351</v>
      </c>
      <c r="D1037" s="37" t="s">
        <v>2352</v>
      </c>
      <c r="E1037" s="354" t="s">
        <v>2353</v>
      </c>
      <c r="F1037" s="355">
        <v>54772185</v>
      </c>
      <c r="G1037" s="355" t="s">
        <v>2142</v>
      </c>
      <c r="H1037" s="26" t="s">
        <v>87</v>
      </c>
      <c r="I1037" s="26" t="s">
        <v>3061</v>
      </c>
    </row>
    <row r="1038" spans="1:9" ht="99">
      <c r="A1038" s="238">
        <v>1036</v>
      </c>
      <c r="B1038" s="28" t="s">
        <v>2332</v>
      </c>
      <c r="C1038" s="37" t="s">
        <v>2287</v>
      </c>
      <c r="D1038" s="37" t="s">
        <v>2354</v>
      </c>
      <c r="E1038" s="354" t="s">
        <v>2355</v>
      </c>
      <c r="F1038" s="355">
        <v>8026298</v>
      </c>
      <c r="G1038" s="355" t="s">
        <v>2142</v>
      </c>
      <c r="H1038" s="26" t="s">
        <v>29</v>
      </c>
      <c r="I1038" s="26" t="s">
        <v>3061</v>
      </c>
    </row>
    <row r="1039" spans="1:9" ht="99">
      <c r="A1039" s="238">
        <v>1037</v>
      </c>
      <c r="B1039" s="28" t="s">
        <v>2356</v>
      </c>
      <c r="C1039" s="37" t="s">
        <v>2357</v>
      </c>
      <c r="D1039" s="37" t="s">
        <v>2358</v>
      </c>
      <c r="E1039" s="354" t="s">
        <v>2359</v>
      </c>
      <c r="F1039" s="355">
        <v>59893</v>
      </c>
      <c r="G1039" s="355" t="s">
        <v>2142</v>
      </c>
      <c r="H1039" s="26" t="s">
        <v>47</v>
      </c>
      <c r="I1039" s="26" t="s">
        <v>3061</v>
      </c>
    </row>
    <row r="1040" spans="1:9" ht="99">
      <c r="A1040" s="238">
        <v>1038</v>
      </c>
      <c r="B1040" s="28" t="s">
        <v>2356</v>
      </c>
      <c r="C1040" s="37" t="s">
        <v>2360</v>
      </c>
      <c r="D1040" s="37" t="s">
        <v>2361</v>
      </c>
      <c r="E1040" s="354" t="s">
        <v>2222</v>
      </c>
      <c r="F1040" s="355">
        <v>585804</v>
      </c>
      <c r="G1040" s="355" t="s">
        <v>2142</v>
      </c>
      <c r="H1040" s="26" t="s">
        <v>29</v>
      </c>
      <c r="I1040" s="26" t="s">
        <v>3061</v>
      </c>
    </row>
    <row r="1041" spans="1:9" ht="132">
      <c r="A1041" s="238">
        <v>1039</v>
      </c>
      <c r="B1041" s="28" t="s">
        <v>2356</v>
      </c>
      <c r="C1041" s="37" t="s">
        <v>2272</v>
      </c>
      <c r="D1041" s="37" t="s">
        <v>2362</v>
      </c>
      <c r="E1041" s="354" t="s">
        <v>2363</v>
      </c>
      <c r="F1041" s="355">
        <v>1447953</v>
      </c>
      <c r="G1041" s="355" t="s">
        <v>2142</v>
      </c>
      <c r="H1041" s="26" t="s">
        <v>29</v>
      </c>
      <c r="I1041" s="26" t="s">
        <v>3061</v>
      </c>
    </row>
    <row r="1042" spans="1:9" ht="99">
      <c r="A1042" s="238">
        <v>1040</v>
      </c>
      <c r="B1042" s="28" t="s">
        <v>2356</v>
      </c>
      <c r="C1042" s="37" t="s">
        <v>2364</v>
      </c>
      <c r="D1042" s="37" t="s">
        <v>2365</v>
      </c>
      <c r="E1042" s="354" t="s">
        <v>2366</v>
      </c>
      <c r="F1042" s="355">
        <v>537310</v>
      </c>
      <c r="G1042" s="355" t="s">
        <v>2142</v>
      </c>
      <c r="H1042" s="356" t="s">
        <v>12</v>
      </c>
      <c r="I1042" s="26" t="s">
        <v>3061</v>
      </c>
    </row>
    <row r="1043" spans="1:9" ht="82.5">
      <c r="A1043" s="238">
        <v>1041</v>
      </c>
      <c r="B1043" s="28" t="s">
        <v>2356</v>
      </c>
      <c r="C1043" s="37" t="s">
        <v>2367</v>
      </c>
      <c r="D1043" s="37" t="s">
        <v>2368</v>
      </c>
      <c r="E1043" s="354" t="s">
        <v>2270</v>
      </c>
      <c r="F1043" s="355">
        <v>337399</v>
      </c>
      <c r="G1043" s="355" t="s">
        <v>2142</v>
      </c>
      <c r="H1043" s="26" t="s">
        <v>49</v>
      </c>
      <c r="I1043" s="26" t="s">
        <v>3061</v>
      </c>
    </row>
    <row r="1044" spans="1:9" ht="99">
      <c r="A1044" s="238">
        <v>1042</v>
      </c>
      <c r="B1044" s="28" t="s">
        <v>2356</v>
      </c>
      <c r="C1044" s="37" t="s">
        <v>2239</v>
      </c>
      <c r="D1044" s="37" t="s">
        <v>2369</v>
      </c>
      <c r="E1044" s="354" t="s">
        <v>2370</v>
      </c>
      <c r="F1044" s="355">
        <v>392556</v>
      </c>
      <c r="G1044" s="355" t="s">
        <v>2142</v>
      </c>
      <c r="H1044" s="26" t="s">
        <v>29</v>
      </c>
      <c r="I1044" s="26" t="s">
        <v>3061</v>
      </c>
    </row>
    <row r="1045" spans="1:9" ht="148.5">
      <c r="A1045" s="238">
        <v>1043</v>
      </c>
      <c r="B1045" s="28" t="s">
        <v>2371</v>
      </c>
      <c r="C1045" s="37" t="s">
        <v>2189</v>
      </c>
      <c r="D1045" s="37" t="s">
        <v>2372</v>
      </c>
      <c r="E1045" s="354" t="s">
        <v>2191</v>
      </c>
      <c r="F1045" s="355">
        <v>372563</v>
      </c>
      <c r="G1045" s="355" t="s">
        <v>2142</v>
      </c>
      <c r="H1045" s="26" t="s">
        <v>29</v>
      </c>
      <c r="I1045" s="26" t="s">
        <v>3061</v>
      </c>
    </row>
    <row r="1046" spans="1:9" ht="165">
      <c r="A1046" s="238">
        <v>1044</v>
      </c>
      <c r="B1046" s="28" t="s">
        <v>2371</v>
      </c>
      <c r="C1046" s="37" t="s">
        <v>2195</v>
      </c>
      <c r="D1046" s="37" t="s">
        <v>2373</v>
      </c>
      <c r="E1046" s="354" t="s">
        <v>2374</v>
      </c>
      <c r="F1046" s="355">
        <v>3135131</v>
      </c>
      <c r="G1046" s="355" t="s">
        <v>2142</v>
      </c>
      <c r="H1046" s="26" t="s">
        <v>29</v>
      </c>
      <c r="I1046" s="26" t="s">
        <v>3061</v>
      </c>
    </row>
    <row r="1047" spans="1:9" ht="165">
      <c r="A1047" s="238">
        <v>1045</v>
      </c>
      <c r="B1047" s="28" t="s">
        <v>2371</v>
      </c>
      <c r="C1047" s="37" t="s">
        <v>2234</v>
      </c>
      <c r="D1047" s="37" t="s">
        <v>2375</v>
      </c>
      <c r="E1047" s="354" t="s">
        <v>2376</v>
      </c>
      <c r="F1047" s="355">
        <v>1776791</v>
      </c>
      <c r="G1047" s="355" t="s">
        <v>2142</v>
      </c>
      <c r="H1047" s="26" t="s">
        <v>29</v>
      </c>
      <c r="I1047" s="26" t="s">
        <v>3061</v>
      </c>
    </row>
    <row r="1048" spans="1:9" ht="165">
      <c r="A1048" s="238">
        <v>1046</v>
      </c>
      <c r="B1048" s="28" t="s">
        <v>2371</v>
      </c>
      <c r="C1048" s="37" t="s">
        <v>2234</v>
      </c>
      <c r="D1048" s="37" t="s">
        <v>2377</v>
      </c>
      <c r="E1048" s="354" t="s">
        <v>2378</v>
      </c>
      <c r="F1048" s="355">
        <v>1176089</v>
      </c>
      <c r="G1048" s="355" t="s">
        <v>2142</v>
      </c>
      <c r="H1048" s="26" t="s">
        <v>29</v>
      </c>
      <c r="I1048" s="26" t="s">
        <v>3061</v>
      </c>
    </row>
    <row r="1049" spans="1:9" ht="181.5">
      <c r="A1049" s="238">
        <v>1047</v>
      </c>
      <c r="B1049" s="28" t="s">
        <v>2371</v>
      </c>
      <c r="C1049" s="37" t="s">
        <v>2379</v>
      </c>
      <c r="D1049" s="37" t="s">
        <v>2380</v>
      </c>
      <c r="E1049" s="354" t="s">
        <v>2381</v>
      </c>
      <c r="F1049" s="361">
        <v>7233677</v>
      </c>
      <c r="G1049" s="355" t="s">
        <v>2142</v>
      </c>
      <c r="H1049" s="26" t="s">
        <v>29</v>
      </c>
      <c r="I1049" s="26" t="s">
        <v>3061</v>
      </c>
    </row>
    <row r="1050" spans="1:9" ht="99">
      <c r="A1050" s="238">
        <v>1048</v>
      </c>
      <c r="B1050" s="28" t="s">
        <v>2371</v>
      </c>
      <c r="C1050" s="37" t="s">
        <v>2382</v>
      </c>
      <c r="D1050" s="37" t="s">
        <v>2383</v>
      </c>
      <c r="E1050" s="354" t="s">
        <v>1224</v>
      </c>
      <c r="F1050" s="355">
        <v>8744142</v>
      </c>
      <c r="G1050" s="355" t="s">
        <v>2142</v>
      </c>
      <c r="H1050" s="26" t="s">
        <v>29</v>
      </c>
      <c r="I1050" s="26" t="s">
        <v>3061</v>
      </c>
    </row>
    <row r="1051" spans="1:9" ht="99">
      <c r="A1051" s="238">
        <v>1049</v>
      </c>
      <c r="B1051" s="28" t="s">
        <v>2371</v>
      </c>
      <c r="C1051" s="37" t="s">
        <v>2382</v>
      </c>
      <c r="D1051" s="37" t="s">
        <v>2384</v>
      </c>
      <c r="E1051" s="354" t="s">
        <v>2353</v>
      </c>
      <c r="F1051" s="355">
        <v>2455262</v>
      </c>
      <c r="G1051" s="355" t="s">
        <v>2142</v>
      </c>
      <c r="H1051" s="26" t="s">
        <v>87</v>
      </c>
      <c r="I1051" s="26" t="s">
        <v>3061</v>
      </c>
    </row>
    <row r="1052" spans="1:9" ht="99">
      <c r="A1052" s="238">
        <v>1050</v>
      </c>
      <c r="B1052" s="28" t="s">
        <v>2371</v>
      </c>
      <c r="C1052" s="37" t="s">
        <v>2385</v>
      </c>
      <c r="D1052" s="37" t="s">
        <v>2386</v>
      </c>
      <c r="E1052" s="354" t="s">
        <v>2353</v>
      </c>
      <c r="F1052" s="355">
        <v>7068856</v>
      </c>
      <c r="G1052" s="355" t="s">
        <v>2142</v>
      </c>
      <c r="H1052" s="26" t="s">
        <v>87</v>
      </c>
      <c r="I1052" s="26" t="s">
        <v>3061</v>
      </c>
    </row>
    <row r="1053" spans="1:9" ht="82.5">
      <c r="A1053" s="238">
        <v>1051</v>
      </c>
      <c r="B1053" s="28" t="s">
        <v>2371</v>
      </c>
      <c r="C1053" s="37" t="s">
        <v>2387</v>
      </c>
      <c r="D1053" s="37" t="s">
        <v>2388</v>
      </c>
      <c r="E1053" s="362" t="s">
        <v>2389</v>
      </c>
      <c r="F1053" s="355">
        <v>3290075</v>
      </c>
      <c r="G1053" s="355" t="s">
        <v>2142</v>
      </c>
      <c r="H1053" s="26" t="s">
        <v>29</v>
      </c>
      <c r="I1053" s="26" t="s">
        <v>3061</v>
      </c>
    </row>
    <row r="1054" spans="1:9" ht="82.5">
      <c r="A1054" s="238">
        <v>1052</v>
      </c>
      <c r="B1054" s="28" t="s">
        <v>2371</v>
      </c>
      <c r="C1054" s="37" t="s">
        <v>2390</v>
      </c>
      <c r="D1054" s="37" t="s">
        <v>2391</v>
      </c>
      <c r="E1054" s="354" t="s">
        <v>2392</v>
      </c>
      <c r="F1054" s="355">
        <v>257945</v>
      </c>
      <c r="G1054" s="355" t="s">
        <v>2142</v>
      </c>
      <c r="H1054" s="26" t="s">
        <v>29</v>
      </c>
      <c r="I1054" s="26" t="s">
        <v>3061</v>
      </c>
    </row>
    <row r="1055" spans="1:9" ht="99">
      <c r="A1055" s="238">
        <v>1053</v>
      </c>
      <c r="B1055" s="28" t="s">
        <v>2371</v>
      </c>
      <c r="C1055" s="37" t="s">
        <v>2393</v>
      </c>
      <c r="D1055" s="37" t="s">
        <v>2394</v>
      </c>
      <c r="E1055" s="354" t="s">
        <v>2395</v>
      </c>
      <c r="F1055" s="355">
        <v>82657</v>
      </c>
      <c r="G1055" s="355" t="s">
        <v>2142</v>
      </c>
      <c r="H1055" s="26" t="s">
        <v>44</v>
      </c>
      <c r="I1055" s="26" t="s">
        <v>3061</v>
      </c>
    </row>
    <row r="1056" spans="1:9" ht="99">
      <c r="A1056" s="238">
        <v>1054</v>
      </c>
      <c r="B1056" s="28" t="s">
        <v>2396</v>
      </c>
      <c r="C1056" s="37" t="s">
        <v>2287</v>
      </c>
      <c r="D1056" s="37" t="s">
        <v>2397</v>
      </c>
      <c r="E1056" s="354" t="s">
        <v>2222</v>
      </c>
      <c r="F1056" s="355">
        <v>3808907</v>
      </c>
      <c r="G1056" s="355" t="s">
        <v>2142</v>
      </c>
      <c r="H1056" s="26" t="s">
        <v>29</v>
      </c>
      <c r="I1056" s="26" t="s">
        <v>3061</v>
      </c>
    </row>
    <row r="1057" spans="1:9" ht="148.5">
      <c r="A1057" s="238">
        <v>1055</v>
      </c>
      <c r="B1057" s="28" t="s">
        <v>2396</v>
      </c>
      <c r="C1057" s="37" t="s">
        <v>2272</v>
      </c>
      <c r="D1057" s="37" t="s">
        <v>2398</v>
      </c>
      <c r="E1057" s="360" t="s">
        <v>2274</v>
      </c>
      <c r="F1057" s="355">
        <v>1458020</v>
      </c>
      <c r="G1057" s="355" t="s">
        <v>2142</v>
      </c>
      <c r="H1057" s="26" t="s">
        <v>29</v>
      </c>
      <c r="I1057" s="26" t="s">
        <v>3061</v>
      </c>
    </row>
    <row r="1058" spans="1:9" ht="115.5">
      <c r="A1058" s="238">
        <v>1056</v>
      </c>
      <c r="B1058" s="28" t="s">
        <v>2396</v>
      </c>
      <c r="C1058" s="37" t="s">
        <v>2272</v>
      </c>
      <c r="D1058" s="37" t="s">
        <v>2399</v>
      </c>
      <c r="E1058" s="354" t="s">
        <v>2363</v>
      </c>
      <c r="F1058" s="355">
        <v>4854431</v>
      </c>
      <c r="G1058" s="355" t="s">
        <v>2142</v>
      </c>
      <c r="H1058" s="26" t="s">
        <v>29</v>
      </c>
      <c r="I1058" s="26" t="s">
        <v>3061</v>
      </c>
    </row>
    <row r="1059" spans="1:9" ht="165">
      <c r="A1059" s="238">
        <v>1057</v>
      </c>
      <c r="B1059" s="28" t="s">
        <v>2396</v>
      </c>
      <c r="C1059" s="37" t="s">
        <v>2234</v>
      </c>
      <c r="D1059" s="37" t="s">
        <v>2400</v>
      </c>
      <c r="E1059" s="354" t="s">
        <v>2401</v>
      </c>
      <c r="F1059" s="355">
        <v>13161955</v>
      </c>
      <c r="G1059" s="355" t="s">
        <v>2142</v>
      </c>
      <c r="H1059" s="26" t="s">
        <v>29</v>
      </c>
      <c r="I1059" s="26" t="s">
        <v>3061</v>
      </c>
    </row>
    <row r="1060" spans="1:9" ht="165">
      <c r="A1060" s="238">
        <v>1058</v>
      </c>
      <c r="B1060" s="28" t="s">
        <v>2396</v>
      </c>
      <c r="C1060" s="37" t="s">
        <v>2234</v>
      </c>
      <c r="D1060" s="37" t="s">
        <v>2402</v>
      </c>
      <c r="E1060" s="360" t="s">
        <v>2403</v>
      </c>
      <c r="F1060" s="355">
        <v>71301811</v>
      </c>
      <c r="G1060" s="355" t="s">
        <v>2142</v>
      </c>
      <c r="H1060" s="26" t="s">
        <v>87</v>
      </c>
      <c r="I1060" s="26" t="s">
        <v>3061</v>
      </c>
    </row>
    <row r="1061" spans="1:9" ht="132">
      <c r="A1061" s="238">
        <v>1059</v>
      </c>
      <c r="B1061" s="28" t="s">
        <v>2396</v>
      </c>
      <c r="C1061" s="37" t="s">
        <v>2234</v>
      </c>
      <c r="D1061" s="37" t="s">
        <v>2404</v>
      </c>
      <c r="E1061" s="354" t="s">
        <v>2206</v>
      </c>
      <c r="F1061" s="355">
        <v>44438</v>
      </c>
      <c r="G1061" s="355" t="s">
        <v>2142</v>
      </c>
      <c r="H1061" s="26" t="s">
        <v>52</v>
      </c>
      <c r="I1061" s="26" t="s">
        <v>3061</v>
      </c>
    </row>
    <row r="1062" spans="1:9" ht="82.5">
      <c r="A1062" s="238">
        <v>1060</v>
      </c>
      <c r="B1062" s="28" t="s">
        <v>2396</v>
      </c>
      <c r="C1062" s="37" t="s">
        <v>2268</v>
      </c>
      <c r="D1062" s="37" t="s">
        <v>2405</v>
      </c>
      <c r="E1062" s="354" t="s">
        <v>2406</v>
      </c>
      <c r="F1062" s="355">
        <v>1457469</v>
      </c>
      <c r="G1062" s="355" t="s">
        <v>2142</v>
      </c>
      <c r="H1062" s="26" t="s">
        <v>2166</v>
      </c>
      <c r="I1062" s="26" t="s">
        <v>3061</v>
      </c>
    </row>
    <row r="1063" spans="1:9" ht="82.5">
      <c r="A1063" s="238">
        <v>1061</v>
      </c>
      <c r="B1063" s="28" t="s">
        <v>2396</v>
      </c>
      <c r="C1063" s="37" t="s">
        <v>2407</v>
      </c>
      <c r="D1063" s="37" t="s">
        <v>2408</v>
      </c>
      <c r="E1063" s="354" t="s">
        <v>2184</v>
      </c>
      <c r="F1063" s="355">
        <v>1643457</v>
      </c>
      <c r="G1063" s="355" t="s">
        <v>2142</v>
      </c>
      <c r="H1063" s="26" t="s">
        <v>29</v>
      </c>
      <c r="I1063" s="26" t="s">
        <v>3061</v>
      </c>
    </row>
    <row r="1064" spans="1:9" ht="82.5">
      <c r="A1064" s="238">
        <v>1062</v>
      </c>
      <c r="B1064" s="28" t="s">
        <v>2396</v>
      </c>
      <c r="C1064" s="37" t="s">
        <v>2409</v>
      </c>
      <c r="D1064" s="37" t="s">
        <v>2410</v>
      </c>
      <c r="E1064" s="354" t="s">
        <v>2392</v>
      </c>
      <c r="F1064" s="355">
        <v>1078343</v>
      </c>
      <c r="G1064" s="355" t="s">
        <v>2142</v>
      </c>
      <c r="H1064" s="26" t="s">
        <v>29</v>
      </c>
      <c r="I1064" s="26" t="s">
        <v>3061</v>
      </c>
    </row>
    <row r="1065" spans="1:9" ht="148.5">
      <c r="A1065" s="238">
        <v>1063</v>
      </c>
      <c r="B1065" s="28" t="s">
        <v>2411</v>
      </c>
      <c r="C1065" s="37" t="s">
        <v>2412</v>
      </c>
      <c r="D1065" s="37" t="s">
        <v>2413</v>
      </c>
      <c r="E1065" s="354" t="s">
        <v>2414</v>
      </c>
      <c r="F1065" s="355">
        <v>1397932</v>
      </c>
      <c r="G1065" s="355" t="s">
        <v>2142</v>
      </c>
      <c r="H1065" s="26" t="s">
        <v>29</v>
      </c>
      <c r="I1065" s="26" t="s">
        <v>3061</v>
      </c>
    </row>
    <row r="1066" spans="1:9" ht="99">
      <c r="A1066" s="238">
        <v>1064</v>
      </c>
      <c r="B1066" s="28" t="s">
        <v>2415</v>
      </c>
      <c r="C1066" s="37" t="s">
        <v>2416</v>
      </c>
      <c r="D1066" s="37" t="s">
        <v>2417</v>
      </c>
      <c r="E1066" s="354" t="s">
        <v>2418</v>
      </c>
      <c r="F1066" s="355">
        <v>40252</v>
      </c>
      <c r="G1066" s="355" t="s">
        <v>2142</v>
      </c>
      <c r="H1066" s="26" t="s">
        <v>44</v>
      </c>
      <c r="I1066" s="26" t="s">
        <v>3061</v>
      </c>
    </row>
    <row r="1067" spans="1:9" ht="66">
      <c r="A1067" s="238">
        <v>1065</v>
      </c>
      <c r="B1067" s="28" t="s">
        <v>2419</v>
      </c>
      <c r="C1067" s="37" t="s">
        <v>2208</v>
      </c>
      <c r="D1067" s="37" t="s">
        <v>2420</v>
      </c>
      <c r="E1067" s="360" t="s">
        <v>2210</v>
      </c>
      <c r="F1067" s="361">
        <v>68352</v>
      </c>
      <c r="G1067" s="355" t="s">
        <v>2142</v>
      </c>
      <c r="H1067" s="26" t="s">
        <v>52</v>
      </c>
      <c r="I1067" s="26" t="s">
        <v>3061</v>
      </c>
    </row>
    <row r="1068" spans="1:9" ht="82.5">
      <c r="A1068" s="238">
        <v>1066</v>
      </c>
      <c r="B1068" s="28" t="s">
        <v>2421</v>
      </c>
      <c r="C1068" s="37" t="s">
        <v>2422</v>
      </c>
      <c r="D1068" s="37" t="s">
        <v>2423</v>
      </c>
      <c r="E1068" s="354" t="s">
        <v>2366</v>
      </c>
      <c r="F1068" s="355">
        <v>325462</v>
      </c>
      <c r="G1068" s="355" t="s">
        <v>2142</v>
      </c>
      <c r="H1068" s="356" t="s">
        <v>12</v>
      </c>
      <c r="I1068" s="26" t="s">
        <v>3061</v>
      </c>
    </row>
    <row r="1069" spans="1:9" ht="82.5">
      <c r="A1069" s="238">
        <v>1067</v>
      </c>
      <c r="B1069" s="28" t="s">
        <v>2421</v>
      </c>
      <c r="C1069" s="37" t="s">
        <v>2382</v>
      </c>
      <c r="D1069" s="37" t="s">
        <v>2424</v>
      </c>
      <c r="E1069" s="354" t="s">
        <v>2162</v>
      </c>
      <c r="F1069" s="355">
        <v>558958</v>
      </c>
      <c r="G1069" s="355" t="s">
        <v>2142</v>
      </c>
      <c r="H1069" s="356" t="s">
        <v>12</v>
      </c>
      <c r="I1069" s="26" t="s">
        <v>3061</v>
      </c>
    </row>
    <row r="1070" spans="1:9" ht="99">
      <c r="A1070" s="238">
        <v>1068</v>
      </c>
      <c r="B1070" s="28" t="s">
        <v>2425</v>
      </c>
      <c r="C1070" s="26" t="s">
        <v>2426</v>
      </c>
      <c r="D1070" s="26" t="s">
        <v>2427</v>
      </c>
      <c r="E1070" s="363" t="s">
        <v>2428</v>
      </c>
      <c r="F1070" s="7">
        <v>12390144.17</v>
      </c>
      <c r="G1070" s="355" t="s">
        <v>2142</v>
      </c>
      <c r="H1070" s="26" t="s">
        <v>47</v>
      </c>
      <c r="I1070" s="26" t="s">
        <v>3061</v>
      </c>
    </row>
    <row r="1071" spans="1:9" ht="82.5">
      <c r="A1071" s="238">
        <v>1069</v>
      </c>
      <c r="B1071" s="28" t="s">
        <v>2429</v>
      </c>
      <c r="C1071" s="37" t="s">
        <v>2385</v>
      </c>
      <c r="D1071" s="37" t="s">
        <v>2430</v>
      </c>
      <c r="E1071" s="354" t="s">
        <v>2366</v>
      </c>
      <c r="F1071" s="355">
        <v>256831</v>
      </c>
      <c r="G1071" s="355" t="s">
        <v>2142</v>
      </c>
      <c r="H1071" s="356" t="s">
        <v>12</v>
      </c>
      <c r="I1071" s="26" t="s">
        <v>3061</v>
      </c>
    </row>
    <row r="1072" spans="1:9" ht="99">
      <c r="A1072" s="238">
        <v>1070</v>
      </c>
      <c r="B1072" s="28" t="s">
        <v>2429</v>
      </c>
      <c r="C1072" s="37" t="s">
        <v>2431</v>
      </c>
      <c r="D1072" s="37" t="s">
        <v>2432</v>
      </c>
      <c r="E1072" s="354" t="s">
        <v>2418</v>
      </c>
      <c r="F1072" s="355">
        <v>45047</v>
      </c>
      <c r="G1072" s="355" t="s">
        <v>2142</v>
      </c>
      <c r="H1072" s="26" t="s">
        <v>44</v>
      </c>
      <c r="I1072" s="26" t="s">
        <v>3061</v>
      </c>
    </row>
    <row r="1073" spans="1:9" ht="82.5">
      <c r="A1073" s="238">
        <v>1071</v>
      </c>
      <c r="B1073" s="28" t="s">
        <v>2332</v>
      </c>
      <c r="C1073" s="37" t="s">
        <v>2433</v>
      </c>
      <c r="D1073" s="37" t="s">
        <v>2434</v>
      </c>
      <c r="E1073" s="354" t="s">
        <v>2435</v>
      </c>
      <c r="F1073" s="355">
        <v>229883</v>
      </c>
      <c r="G1073" s="355" t="s">
        <v>2142</v>
      </c>
      <c r="H1073" s="26" t="s">
        <v>2166</v>
      </c>
      <c r="I1073" s="26" t="s">
        <v>3061</v>
      </c>
    </row>
    <row r="1074" spans="1:9" ht="66">
      <c r="A1074" s="238">
        <v>1072</v>
      </c>
      <c r="B1074" s="28" t="s">
        <v>2436</v>
      </c>
      <c r="C1074" s="37" t="s">
        <v>2422</v>
      </c>
      <c r="D1074" s="37" t="s">
        <v>2437</v>
      </c>
      <c r="E1074" s="354" t="s">
        <v>2353</v>
      </c>
      <c r="F1074" s="355">
        <v>8020716</v>
      </c>
      <c r="G1074" s="355" t="s">
        <v>2142</v>
      </c>
      <c r="H1074" s="26" t="s">
        <v>87</v>
      </c>
      <c r="I1074" s="26" t="s">
        <v>3061</v>
      </c>
    </row>
    <row r="1075" spans="1:9" ht="99">
      <c r="A1075" s="238">
        <v>1073</v>
      </c>
      <c r="B1075" s="28" t="s">
        <v>2436</v>
      </c>
      <c r="C1075" s="37" t="s">
        <v>2438</v>
      </c>
      <c r="D1075" s="37" t="s">
        <v>2439</v>
      </c>
      <c r="E1075" s="354" t="s">
        <v>2366</v>
      </c>
      <c r="F1075" s="355">
        <v>583241</v>
      </c>
      <c r="G1075" s="355" t="s">
        <v>2142</v>
      </c>
      <c r="H1075" s="356" t="s">
        <v>12</v>
      </c>
      <c r="I1075" s="26" t="s">
        <v>3061</v>
      </c>
    </row>
    <row r="1076" spans="1:9" ht="82.5">
      <c r="A1076" s="238">
        <v>1074</v>
      </c>
      <c r="B1076" s="28" t="s">
        <v>2436</v>
      </c>
      <c r="C1076" s="37" t="s">
        <v>2160</v>
      </c>
      <c r="D1076" s="37" t="s">
        <v>2440</v>
      </c>
      <c r="E1076" s="354" t="s">
        <v>2353</v>
      </c>
      <c r="F1076" s="355">
        <v>5087701</v>
      </c>
      <c r="G1076" s="355" t="s">
        <v>2142</v>
      </c>
      <c r="H1076" s="26" t="s">
        <v>87</v>
      </c>
      <c r="I1076" s="26" t="s">
        <v>3061</v>
      </c>
    </row>
    <row r="1077" spans="1:9" ht="99">
      <c r="A1077" s="238">
        <v>1075</v>
      </c>
      <c r="B1077" s="28" t="s">
        <v>2436</v>
      </c>
      <c r="C1077" s="37" t="s">
        <v>2422</v>
      </c>
      <c r="D1077" s="37" t="s">
        <v>2441</v>
      </c>
      <c r="E1077" s="354" t="s">
        <v>2353</v>
      </c>
      <c r="F1077" s="355">
        <v>637950</v>
      </c>
      <c r="G1077" s="355" t="s">
        <v>2142</v>
      </c>
      <c r="H1077" s="26" t="s">
        <v>87</v>
      </c>
      <c r="I1077" s="26" t="s">
        <v>3061</v>
      </c>
    </row>
    <row r="1078" spans="1:9" ht="66">
      <c r="A1078" s="238">
        <v>1076</v>
      </c>
      <c r="B1078" s="28" t="s">
        <v>2436</v>
      </c>
      <c r="C1078" s="37" t="s">
        <v>2442</v>
      </c>
      <c r="D1078" s="37" t="s">
        <v>2443</v>
      </c>
      <c r="E1078" s="354" t="s">
        <v>2184</v>
      </c>
      <c r="F1078" s="355">
        <v>479951</v>
      </c>
      <c r="G1078" s="355" t="s">
        <v>2142</v>
      </c>
      <c r="H1078" s="26" t="s">
        <v>29</v>
      </c>
      <c r="I1078" s="26" t="s">
        <v>3061</v>
      </c>
    </row>
    <row r="1079" spans="1:9" ht="99">
      <c r="A1079" s="238">
        <v>1077</v>
      </c>
      <c r="B1079" s="28" t="s">
        <v>2436</v>
      </c>
      <c r="C1079" s="37" t="s">
        <v>2321</v>
      </c>
      <c r="D1079" s="37" t="s">
        <v>2444</v>
      </c>
      <c r="E1079" s="354" t="s">
        <v>2445</v>
      </c>
      <c r="F1079" s="355">
        <v>50475</v>
      </c>
      <c r="G1079" s="355" t="s">
        <v>2142</v>
      </c>
      <c r="H1079" s="26" t="s">
        <v>2166</v>
      </c>
      <c r="I1079" s="26" t="s">
        <v>3061</v>
      </c>
    </row>
    <row r="1080" spans="1:9" ht="66">
      <c r="A1080" s="238">
        <v>1078</v>
      </c>
      <c r="B1080" s="28" t="s">
        <v>2436</v>
      </c>
      <c r="C1080" s="37" t="s">
        <v>2446</v>
      </c>
      <c r="D1080" s="37" t="s">
        <v>2447</v>
      </c>
      <c r="E1080" s="354" t="s">
        <v>2448</v>
      </c>
      <c r="F1080" s="355">
        <v>73891</v>
      </c>
      <c r="G1080" s="355" t="s">
        <v>2142</v>
      </c>
      <c r="H1080" s="26" t="s">
        <v>29</v>
      </c>
      <c r="I1080" s="26" t="s">
        <v>3061</v>
      </c>
    </row>
    <row r="1081" spans="1:9" ht="82.5">
      <c r="A1081" s="238">
        <v>1079</v>
      </c>
      <c r="B1081" s="28" t="s">
        <v>2436</v>
      </c>
      <c r="C1081" s="37" t="s">
        <v>2449</v>
      </c>
      <c r="D1081" s="37" t="s">
        <v>2450</v>
      </c>
      <c r="E1081" s="354" t="s">
        <v>2353</v>
      </c>
      <c r="F1081" s="355">
        <v>33315517</v>
      </c>
      <c r="G1081" s="355" t="s">
        <v>2142</v>
      </c>
      <c r="H1081" s="26" t="s">
        <v>87</v>
      </c>
      <c r="I1081" s="26" t="s">
        <v>3061</v>
      </c>
    </row>
    <row r="1082" spans="1:9" ht="132">
      <c r="A1082" s="238">
        <v>1080</v>
      </c>
      <c r="B1082" s="28" t="s">
        <v>2436</v>
      </c>
      <c r="C1082" s="37" t="s">
        <v>2451</v>
      </c>
      <c r="D1082" s="37" t="s">
        <v>2452</v>
      </c>
      <c r="E1082" s="354" t="s">
        <v>2453</v>
      </c>
      <c r="F1082" s="355">
        <v>10591431</v>
      </c>
      <c r="G1082" s="355" t="s">
        <v>2142</v>
      </c>
      <c r="H1082" s="26" t="s">
        <v>47</v>
      </c>
      <c r="I1082" s="26" t="s">
        <v>3061</v>
      </c>
    </row>
    <row r="1083" spans="1:9" ht="82.5">
      <c r="A1083" s="238">
        <v>1081</v>
      </c>
      <c r="B1083" s="28" t="s">
        <v>2454</v>
      </c>
      <c r="C1083" s="37" t="s">
        <v>2455</v>
      </c>
      <c r="D1083" s="37" t="s">
        <v>2456</v>
      </c>
      <c r="E1083" s="354" t="s">
        <v>2406</v>
      </c>
      <c r="F1083" s="355">
        <v>1729048</v>
      </c>
      <c r="G1083" s="355" t="s">
        <v>2142</v>
      </c>
      <c r="H1083" s="26" t="s">
        <v>2166</v>
      </c>
      <c r="I1083" s="26" t="s">
        <v>3061</v>
      </c>
    </row>
    <row r="1084" spans="1:9" ht="115.5">
      <c r="A1084" s="238">
        <v>1082</v>
      </c>
      <c r="B1084" s="28" t="s">
        <v>2457</v>
      </c>
      <c r="C1084" s="37" t="s">
        <v>2458</v>
      </c>
      <c r="D1084" s="37" t="s">
        <v>2459</v>
      </c>
      <c r="E1084" s="360" t="s">
        <v>2460</v>
      </c>
      <c r="F1084" s="361">
        <v>971698142</v>
      </c>
      <c r="G1084" s="355" t="s">
        <v>2142</v>
      </c>
      <c r="H1084" s="356" t="s">
        <v>12</v>
      </c>
      <c r="I1084" s="26" t="s">
        <v>3061</v>
      </c>
    </row>
    <row r="1085" spans="1:9" ht="115.5">
      <c r="A1085" s="238">
        <v>1083</v>
      </c>
      <c r="B1085" s="28" t="s">
        <v>2461</v>
      </c>
      <c r="C1085" s="37" t="s">
        <v>2458</v>
      </c>
      <c r="D1085" s="37" t="s">
        <v>2459</v>
      </c>
      <c r="E1085" s="360" t="s">
        <v>2462</v>
      </c>
      <c r="F1085" s="361">
        <v>854221073</v>
      </c>
      <c r="G1085" s="355" t="s">
        <v>2142</v>
      </c>
      <c r="H1085" s="356" t="s">
        <v>12</v>
      </c>
      <c r="I1085" s="26" t="s">
        <v>3061</v>
      </c>
    </row>
    <row r="1086" spans="1:9" ht="99">
      <c r="A1086" s="238">
        <v>1084</v>
      </c>
      <c r="B1086" s="28" t="s">
        <v>2463</v>
      </c>
      <c r="C1086" s="37" t="s">
        <v>2464</v>
      </c>
      <c r="D1086" s="37" t="s">
        <v>2465</v>
      </c>
      <c r="E1086" s="354" t="s">
        <v>2323</v>
      </c>
      <c r="F1086" s="355">
        <v>387105</v>
      </c>
      <c r="G1086" s="355" t="s">
        <v>2142</v>
      </c>
      <c r="H1086" s="26" t="s">
        <v>77</v>
      </c>
      <c r="I1086" s="26" t="s">
        <v>3061</v>
      </c>
    </row>
    <row r="1087" spans="1:9" ht="99">
      <c r="A1087" s="238">
        <v>1085</v>
      </c>
      <c r="B1087" s="28" t="s">
        <v>2466</v>
      </c>
      <c r="C1087" s="37" t="s">
        <v>2467</v>
      </c>
      <c r="D1087" s="37" t="s">
        <v>2468</v>
      </c>
      <c r="E1087" s="354" t="s">
        <v>2254</v>
      </c>
      <c r="F1087" s="355">
        <v>155430</v>
      </c>
      <c r="G1087" s="355" t="s">
        <v>2142</v>
      </c>
      <c r="H1087" s="26" t="s">
        <v>29</v>
      </c>
      <c r="I1087" s="26" t="s">
        <v>3061</v>
      </c>
    </row>
    <row r="1088" spans="1:9" ht="99">
      <c r="A1088" s="238">
        <v>1086</v>
      </c>
      <c r="B1088" s="28" t="s">
        <v>2469</v>
      </c>
      <c r="C1088" s="37" t="s">
        <v>2470</v>
      </c>
      <c r="D1088" s="37" t="s">
        <v>2471</v>
      </c>
      <c r="E1088" s="354" t="s">
        <v>2472</v>
      </c>
      <c r="F1088" s="355">
        <v>286670</v>
      </c>
      <c r="G1088" s="355" t="s">
        <v>2142</v>
      </c>
      <c r="H1088" s="26" t="s">
        <v>1105</v>
      </c>
      <c r="I1088" s="26" t="s">
        <v>3061</v>
      </c>
    </row>
    <row r="1089" spans="1:9" ht="132">
      <c r="A1089" s="238">
        <v>1087</v>
      </c>
      <c r="B1089" s="28" t="s">
        <v>2473</v>
      </c>
      <c r="C1089" s="37" t="s">
        <v>2195</v>
      </c>
      <c r="D1089" s="37" t="s">
        <v>2474</v>
      </c>
      <c r="E1089" s="354" t="s">
        <v>2475</v>
      </c>
      <c r="F1089" s="355">
        <v>26695430</v>
      </c>
      <c r="G1089" s="355" t="s">
        <v>2142</v>
      </c>
      <c r="H1089" s="26" t="s">
        <v>29</v>
      </c>
      <c r="I1089" s="26" t="s">
        <v>3061</v>
      </c>
    </row>
    <row r="1090" spans="1:9" ht="115.5">
      <c r="A1090" s="238">
        <v>1088</v>
      </c>
      <c r="B1090" s="28" t="s">
        <v>2473</v>
      </c>
      <c r="C1090" s="37" t="s">
        <v>2272</v>
      </c>
      <c r="D1090" s="37" t="s">
        <v>2476</v>
      </c>
      <c r="E1090" s="354" t="s">
        <v>2363</v>
      </c>
      <c r="F1090" s="355">
        <v>789926</v>
      </c>
      <c r="G1090" s="355" t="s">
        <v>2142</v>
      </c>
      <c r="H1090" s="26" t="s">
        <v>29</v>
      </c>
      <c r="I1090" s="26" t="s">
        <v>3061</v>
      </c>
    </row>
    <row r="1091" spans="1:9" ht="99">
      <c r="A1091" s="238">
        <v>1089</v>
      </c>
      <c r="B1091" s="28" t="s">
        <v>2473</v>
      </c>
      <c r="C1091" s="37" t="s">
        <v>2182</v>
      </c>
      <c r="D1091" s="37" t="s">
        <v>2477</v>
      </c>
      <c r="E1091" s="354" t="s">
        <v>2184</v>
      </c>
      <c r="F1091" s="355">
        <v>1560210</v>
      </c>
      <c r="G1091" s="355" t="s">
        <v>2142</v>
      </c>
      <c r="H1091" s="26" t="s">
        <v>29</v>
      </c>
      <c r="I1091" s="26" t="s">
        <v>3061</v>
      </c>
    </row>
    <row r="1092" spans="1:9" ht="82.5">
      <c r="A1092" s="238">
        <v>1090</v>
      </c>
      <c r="B1092" s="28" t="s">
        <v>2473</v>
      </c>
      <c r="C1092" s="37" t="s">
        <v>2478</v>
      </c>
      <c r="D1092" s="37" t="s">
        <v>2479</v>
      </c>
      <c r="E1092" s="354" t="s">
        <v>2323</v>
      </c>
      <c r="F1092" s="355">
        <v>330000</v>
      </c>
      <c r="G1092" s="355" t="s">
        <v>2142</v>
      </c>
      <c r="H1092" s="26" t="s">
        <v>77</v>
      </c>
      <c r="I1092" s="26" t="s">
        <v>3061</v>
      </c>
    </row>
    <row r="1093" spans="1:9" ht="99">
      <c r="A1093" s="238">
        <v>1091</v>
      </c>
      <c r="B1093" s="28" t="s">
        <v>2473</v>
      </c>
      <c r="C1093" s="37" t="s">
        <v>2480</v>
      </c>
      <c r="D1093" s="37" t="s">
        <v>2481</v>
      </c>
      <c r="E1093" s="354" t="s">
        <v>2184</v>
      </c>
      <c r="F1093" s="355">
        <v>378852</v>
      </c>
      <c r="G1093" s="355" t="s">
        <v>2142</v>
      </c>
      <c r="H1093" s="26" t="s">
        <v>29</v>
      </c>
      <c r="I1093" s="26" t="s">
        <v>3061</v>
      </c>
    </row>
    <row r="1094" spans="1:9" ht="132">
      <c r="A1094" s="238">
        <v>1092</v>
      </c>
      <c r="B1094" s="28" t="s">
        <v>2482</v>
      </c>
      <c r="C1094" s="37" t="s">
        <v>2412</v>
      </c>
      <c r="D1094" s="37" t="s">
        <v>2483</v>
      </c>
      <c r="E1094" s="354" t="s">
        <v>2484</v>
      </c>
      <c r="F1094" s="355">
        <v>6040649</v>
      </c>
      <c r="G1094" s="355" t="s">
        <v>2142</v>
      </c>
      <c r="H1094" s="26" t="s">
        <v>47</v>
      </c>
      <c r="I1094" s="26" t="s">
        <v>3061</v>
      </c>
    </row>
    <row r="1095" spans="1:9" ht="82.5">
      <c r="A1095" s="238">
        <v>1093</v>
      </c>
      <c r="B1095" s="28" t="s">
        <v>2482</v>
      </c>
      <c r="C1095" s="26" t="s">
        <v>2485</v>
      </c>
      <c r="D1095" s="26" t="s">
        <v>2486</v>
      </c>
      <c r="E1095" s="364" t="s">
        <v>2487</v>
      </c>
      <c r="F1095" s="365">
        <v>1645510</v>
      </c>
      <c r="G1095" s="355" t="s">
        <v>2142</v>
      </c>
      <c r="H1095" s="26" t="s">
        <v>47</v>
      </c>
      <c r="I1095" s="26" t="s">
        <v>3061</v>
      </c>
    </row>
    <row r="1096" spans="1:9" ht="99">
      <c r="A1096" s="238">
        <v>1094</v>
      </c>
      <c r="B1096" s="28" t="s">
        <v>2488</v>
      </c>
      <c r="C1096" s="26" t="s">
        <v>2489</v>
      </c>
      <c r="D1096" s="26" t="s">
        <v>2490</v>
      </c>
      <c r="E1096" s="364" t="s">
        <v>2323</v>
      </c>
      <c r="F1096" s="365">
        <v>184239</v>
      </c>
      <c r="G1096" s="355" t="s">
        <v>2142</v>
      </c>
      <c r="H1096" s="26" t="s">
        <v>77</v>
      </c>
      <c r="I1096" s="26" t="s">
        <v>3061</v>
      </c>
    </row>
    <row r="1097" spans="1:9" ht="132">
      <c r="A1097" s="238">
        <v>1095</v>
      </c>
      <c r="B1097" s="28" t="s">
        <v>2488</v>
      </c>
      <c r="C1097" s="37" t="s">
        <v>2195</v>
      </c>
      <c r="D1097" s="37" t="s">
        <v>2491</v>
      </c>
      <c r="E1097" s="362" t="s">
        <v>2492</v>
      </c>
      <c r="F1097" s="355">
        <v>965565</v>
      </c>
      <c r="G1097" s="355" t="s">
        <v>2142</v>
      </c>
      <c r="H1097" s="26" t="s">
        <v>29</v>
      </c>
      <c r="I1097" s="26" t="s">
        <v>3061</v>
      </c>
    </row>
    <row r="1098" spans="1:9" ht="115.5">
      <c r="A1098" s="238">
        <v>1096</v>
      </c>
      <c r="B1098" s="28" t="s">
        <v>2488</v>
      </c>
      <c r="C1098" s="37" t="s">
        <v>2493</v>
      </c>
      <c r="D1098" s="37" t="s">
        <v>2494</v>
      </c>
      <c r="E1098" s="354" t="s">
        <v>2495</v>
      </c>
      <c r="F1098" s="355">
        <v>3039870</v>
      </c>
      <c r="G1098" s="355" t="s">
        <v>2142</v>
      </c>
      <c r="H1098" s="356" t="s">
        <v>12</v>
      </c>
      <c r="I1098" s="26" t="s">
        <v>3061</v>
      </c>
    </row>
    <row r="1099" spans="1:9" ht="181.5">
      <c r="A1099" s="238">
        <v>1097</v>
      </c>
      <c r="B1099" s="28" t="s">
        <v>2488</v>
      </c>
      <c r="C1099" s="37" t="s">
        <v>2195</v>
      </c>
      <c r="D1099" s="37" t="s">
        <v>2496</v>
      </c>
      <c r="E1099" s="354" t="s">
        <v>2497</v>
      </c>
      <c r="F1099" s="355">
        <v>3411595</v>
      </c>
      <c r="G1099" s="355" t="s">
        <v>2142</v>
      </c>
      <c r="H1099" s="26" t="s">
        <v>29</v>
      </c>
      <c r="I1099" s="26" t="s">
        <v>3061</v>
      </c>
    </row>
    <row r="1100" spans="1:9" ht="82.5">
      <c r="A1100" s="238">
        <v>1098</v>
      </c>
      <c r="B1100" s="28" t="s">
        <v>2498</v>
      </c>
      <c r="C1100" s="37" t="s">
        <v>2499</v>
      </c>
      <c r="D1100" s="37" t="s">
        <v>2500</v>
      </c>
      <c r="E1100" s="354" t="s">
        <v>2345</v>
      </c>
      <c r="F1100" s="355">
        <v>1327123</v>
      </c>
      <c r="G1100" s="355" t="s">
        <v>2142</v>
      </c>
      <c r="H1100" s="26" t="s">
        <v>29</v>
      </c>
      <c r="I1100" s="26" t="s">
        <v>3061</v>
      </c>
    </row>
    <row r="1101" spans="1:9" ht="82.5">
      <c r="A1101" s="238">
        <v>1099</v>
      </c>
      <c r="B1101" s="28" t="s">
        <v>2498</v>
      </c>
      <c r="C1101" s="37" t="s">
        <v>2501</v>
      </c>
      <c r="D1101" s="37" t="s">
        <v>2502</v>
      </c>
      <c r="E1101" s="360" t="s">
        <v>2503</v>
      </c>
      <c r="F1101" s="355">
        <v>100419</v>
      </c>
      <c r="G1101" s="355" t="s">
        <v>2142</v>
      </c>
      <c r="H1101" s="26" t="s">
        <v>77</v>
      </c>
      <c r="I1101" s="26" t="s">
        <v>3061</v>
      </c>
    </row>
    <row r="1102" spans="1:9" ht="99">
      <c r="A1102" s="238">
        <v>1100</v>
      </c>
      <c r="B1102" s="28" t="s">
        <v>2498</v>
      </c>
      <c r="C1102" s="37" t="s">
        <v>2504</v>
      </c>
      <c r="D1102" s="37" t="s">
        <v>2505</v>
      </c>
      <c r="E1102" s="354" t="s">
        <v>2323</v>
      </c>
      <c r="F1102" s="355">
        <v>780580</v>
      </c>
      <c r="G1102" s="355" t="s">
        <v>2142</v>
      </c>
      <c r="H1102" s="26" t="s">
        <v>77</v>
      </c>
      <c r="I1102" s="26" t="s">
        <v>3061</v>
      </c>
    </row>
    <row r="1103" spans="1:9" ht="82.5">
      <c r="A1103" s="238">
        <v>1101</v>
      </c>
      <c r="B1103" s="28" t="s">
        <v>2506</v>
      </c>
      <c r="C1103" s="37" t="s">
        <v>2163</v>
      </c>
      <c r="D1103" s="37" t="s">
        <v>2507</v>
      </c>
      <c r="E1103" s="354" t="s">
        <v>2353</v>
      </c>
      <c r="F1103" s="355">
        <v>1737360</v>
      </c>
      <c r="G1103" s="355" t="s">
        <v>2142</v>
      </c>
      <c r="H1103" s="26" t="s">
        <v>87</v>
      </c>
      <c r="I1103" s="26" t="s">
        <v>3061</v>
      </c>
    </row>
    <row r="1104" spans="1:9" ht="115.5">
      <c r="A1104" s="238">
        <v>1102</v>
      </c>
      <c r="B1104" s="28" t="s">
        <v>2506</v>
      </c>
      <c r="C1104" s="37" t="s">
        <v>2508</v>
      </c>
      <c r="D1104" s="37" t="s">
        <v>2509</v>
      </c>
      <c r="E1104" s="360" t="s">
        <v>2510</v>
      </c>
      <c r="F1104" s="355">
        <v>741980</v>
      </c>
      <c r="G1104" s="355" t="s">
        <v>2142</v>
      </c>
      <c r="H1104" s="26" t="s">
        <v>1105</v>
      </c>
      <c r="I1104" s="26" t="s">
        <v>3061</v>
      </c>
    </row>
    <row r="1105" spans="1:9" ht="99">
      <c r="A1105" s="238">
        <v>1103</v>
      </c>
      <c r="B1105" s="28" t="s">
        <v>2506</v>
      </c>
      <c r="C1105" s="37" t="s">
        <v>2511</v>
      </c>
      <c r="D1105" s="37" t="s">
        <v>2512</v>
      </c>
      <c r="E1105" s="360" t="s">
        <v>2513</v>
      </c>
      <c r="F1105" s="355">
        <v>155368</v>
      </c>
      <c r="G1105" s="355" t="s">
        <v>2142</v>
      </c>
      <c r="H1105" s="356" t="s">
        <v>12</v>
      </c>
      <c r="I1105" s="26" t="s">
        <v>3061</v>
      </c>
    </row>
    <row r="1106" spans="1:9" ht="99">
      <c r="A1106" s="238">
        <v>1104</v>
      </c>
      <c r="B1106" s="28" t="s">
        <v>2506</v>
      </c>
      <c r="C1106" s="37" t="s">
        <v>2329</v>
      </c>
      <c r="D1106" s="37" t="s">
        <v>2514</v>
      </c>
      <c r="E1106" s="360" t="s">
        <v>2515</v>
      </c>
      <c r="F1106" s="355">
        <v>1501841</v>
      </c>
      <c r="G1106" s="355" t="s">
        <v>2142</v>
      </c>
      <c r="H1106" s="26" t="s">
        <v>29</v>
      </c>
      <c r="I1106" s="26" t="s">
        <v>3061</v>
      </c>
    </row>
    <row r="1107" spans="1:9" ht="82.5">
      <c r="A1107" s="238">
        <v>1105</v>
      </c>
      <c r="B1107" s="28" t="s">
        <v>2506</v>
      </c>
      <c r="C1107" s="37" t="s">
        <v>2278</v>
      </c>
      <c r="D1107" s="37" t="s">
        <v>2516</v>
      </c>
      <c r="E1107" s="354" t="s">
        <v>2392</v>
      </c>
      <c r="F1107" s="355">
        <v>353897</v>
      </c>
      <c r="G1107" s="355" t="s">
        <v>2142</v>
      </c>
      <c r="H1107" s="26" t="s">
        <v>29</v>
      </c>
      <c r="I1107" s="26" t="s">
        <v>3061</v>
      </c>
    </row>
    <row r="1108" spans="1:9" ht="99">
      <c r="A1108" s="238">
        <v>1106</v>
      </c>
      <c r="B1108" s="28" t="s">
        <v>2506</v>
      </c>
      <c r="C1108" s="26" t="s">
        <v>2517</v>
      </c>
      <c r="D1108" s="26" t="s">
        <v>2518</v>
      </c>
      <c r="E1108" s="364" t="s">
        <v>2519</v>
      </c>
      <c r="F1108" s="365">
        <v>318488</v>
      </c>
      <c r="G1108" s="355" t="s">
        <v>2142</v>
      </c>
      <c r="H1108" s="26" t="s">
        <v>77</v>
      </c>
      <c r="I1108" s="26" t="s">
        <v>3061</v>
      </c>
    </row>
    <row r="1109" spans="1:9" ht="165">
      <c r="A1109" s="238">
        <v>1107</v>
      </c>
      <c r="B1109" s="28" t="s">
        <v>1185</v>
      </c>
      <c r="C1109" s="37" t="s">
        <v>2272</v>
      </c>
      <c r="D1109" s="37" t="s">
        <v>2520</v>
      </c>
      <c r="E1109" s="360" t="s">
        <v>2274</v>
      </c>
      <c r="F1109" s="355">
        <v>5344158</v>
      </c>
      <c r="G1109" s="355" t="s">
        <v>2142</v>
      </c>
      <c r="H1109" s="26" t="s">
        <v>29</v>
      </c>
      <c r="I1109" s="26" t="s">
        <v>3061</v>
      </c>
    </row>
    <row r="1110" spans="1:9" ht="132">
      <c r="A1110" s="238">
        <v>1108</v>
      </c>
      <c r="B1110" s="28" t="s">
        <v>1185</v>
      </c>
      <c r="C1110" s="37" t="s">
        <v>2521</v>
      </c>
      <c r="D1110" s="37" t="s">
        <v>2522</v>
      </c>
      <c r="E1110" s="354" t="s">
        <v>2363</v>
      </c>
      <c r="F1110" s="355">
        <v>4055652</v>
      </c>
      <c r="G1110" s="355" t="s">
        <v>2142</v>
      </c>
      <c r="H1110" s="26" t="s">
        <v>29</v>
      </c>
      <c r="I1110" s="26" t="s">
        <v>3061</v>
      </c>
    </row>
    <row r="1111" spans="1:9" ht="99">
      <c r="A1111" s="238">
        <v>1109</v>
      </c>
      <c r="B1111" s="28" t="s">
        <v>1185</v>
      </c>
      <c r="C1111" s="37" t="s">
        <v>2163</v>
      </c>
      <c r="D1111" s="37" t="s">
        <v>2523</v>
      </c>
      <c r="E1111" s="354" t="s">
        <v>1224</v>
      </c>
      <c r="F1111" s="355">
        <v>28808635</v>
      </c>
      <c r="G1111" s="355" t="s">
        <v>2142</v>
      </c>
      <c r="H1111" s="26" t="s">
        <v>29</v>
      </c>
      <c r="I1111" s="26" t="s">
        <v>3061</v>
      </c>
    </row>
    <row r="1112" spans="1:9" ht="82.5">
      <c r="A1112" s="238">
        <v>1110</v>
      </c>
      <c r="B1112" s="28" t="s">
        <v>1185</v>
      </c>
      <c r="C1112" s="37" t="s">
        <v>2524</v>
      </c>
      <c r="D1112" s="37" t="s">
        <v>2525</v>
      </c>
      <c r="E1112" s="360" t="s">
        <v>2526</v>
      </c>
      <c r="F1112" s="355">
        <v>343000</v>
      </c>
      <c r="G1112" s="355" t="s">
        <v>2142</v>
      </c>
      <c r="H1112" s="26" t="s">
        <v>47</v>
      </c>
      <c r="I1112" s="26" t="s">
        <v>3061</v>
      </c>
    </row>
    <row r="1113" spans="1:9" ht="82.5">
      <c r="A1113" s="238">
        <v>1111</v>
      </c>
      <c r="B1113" s="28" t="s">
        <v>1185</v>
      </c>
      <c r="C1113" s="37" t="s">
        <v>2527</v>
      </c>
      <c r="D1113" s="37" t="s">
        <v>2528</v>
      </c>
      <c r="E1113" s="354" t="s">
        <v>2286</v>
      </c>
      <c r="F1113" s="355">
        <v>93768</v>
      </c>
      <c r="G1113" s="355" t="s">
        <v>2142</v>
      </c>
      <c r="H1113" s="26" t="s">
        <v>47</v>
      </c>
      <c r="I1113" s="26" t="s">
        <v>3061</v>
      </c>
    </row>
    <row r="1114" spans="1:9" ht="82.5">
      <c r="A1114" s="238">
        <v>1112</v>
      </c>
      <c r="B1114" s="28" t="s">
        <v>1185</v>
      </c>
      <c r="C1114" s="37" t="s">
        <v>2321</v>
      </c>
      <c r="D1114" s="37" t="s">
        <v>2529</v>
      </c>
      <c r="E1114" s="354" t="s">
        <v>2323</v>
      </c>
      <c r="F1114" s="355">
        <v>18000</v>
      </c>
      <c r="G1114" s="355" t="s">
        <v>2142</v>
      </c>
      <c r="H1114" s="26" t="s">
        <v>77</v>
      </c>
      <c r="I1114" s="26" t="s">
        <v>3061</v>
      </c>
    </row>
    <row r="1115" spans="1:9" ht="82.5">
      <c r="A1115" s="238">
        <v>1113</v>
      </c>
      <c r="B1115" s="28" t="s">
        <v>1185</v>
      </c>
      <c r="C1115" s="37" t="s">
        <v>2530</v>
      </c>
      <c r="D1115" s="37" t="s">
        <v>2531</v>
      </c>
      <c r="E1115" s="360" t="s">
        <v>2532</v>
      </c>
      <c r="F1115" s="355">
        <v>90455</v>
      </c>
      <c r="G1115" s="355" t="s">
        <v>2142</v>
      </c>
      <c r="H1115" s="26" t="s">
        <v>47</v>
      </c>
      <c r="I1115" s="26" t="s">
        <v>3061</v>
      </c>
    </row>
    <row r="1116" spans="1:9" ht="99">
      <c r="A1116" s="238">
        <v>1114</v>
      </c>
      <c r="B1116" s="28" t="s">
        <v>1185</v>
      </c>
      <c r="C1116" s="37" t="s">
        <v>2533</v>
      </c>
      <c r="D1116" s="37" t="s">
        <v>2534</v>
      </c>
      <c r="E1116" s="360" t="s">
        <v>2171</v>
      </c>
      <c r="F1116" s="355">
        <v>170670</v>
      </c>
      <c r="G1116" s="355" t="s">
        <v>2142</v>
      </c>
      <c r="H1116" s="26" t="s">
        <v>1105</v>
      </c>
      <c r="I1116" s="26" t="s">
        <v>3061</v>
      </c>
    </row>
    <row r="1117" spans="1:9" ht="99">
      <c r="A1117" s="238">
        <v>1115</v>
      </c>
      <c r="B1117" s="28" t="s">
        <v>2535</v>
      </c>
      <c r="C1117" s="37" t="s">
        <v>2536</v>
      </c>
      <c r="D1117" s="37" t="s">
        <v>2537</v>
      </c>
      <c r="E1117" s="360" t="s">
        <v>2538</v>
      </c>
      <c r="F1117" s="355">
        <v>270277</v>
      </c>
      <c r="G1117" s="355" t="s">
        <v>2142</v>
      </c>
      <c r="H1117" s="26" t="s">
        <v>29</v>
      </c>
      <c r="I1117" s="26" t="s">
        <v>3061</v>
      </c>
    </row>
    <row r="1118" spans="1:9" ht="82.5">
      <c r="A1118" s="238">
        <v>1116</v>
      </c>
      <c r="B1118" s="28" t="s">
        <v>2539</v>
      </c>
      <c r="C1118" s="37" t="s">
        <v>2540</v>
      </c>
      <c r="D1118" s="37" t="s">
        <v>2541</v>
      </c>
      <c r="E1118" s="354" t="s">
        <v>1224</v>
      </c>
      <c r="F1118" s="355">
        <v>6726923</v>
      </c>
      <c r="G1118" s="355" t="s">
        <v>2142</v>
      </c>
      <c r="H1118" s="26" t="s">
        <v>29</v>
      </c>
      <c r="I1118" s="26" t="s">
        <v>3061</v>
      </c>
    </row>
    <row r="1119" spans="1:9" ht="99">
      <c r="A1119" s="238">
        <v>1117</v>
      </c>
      <c r="B1119" s="28" t="s">
        <v>2542</v>
      </c>
      <c r="C1119" s="37" t="s">
        <v>2291</v>
      </c>
      <c r="D1119" s="37" t="s">
        <v>2543</v>
      </c>
      <c r="E1119" s="360" t="s">
        <v>2544</v>
      </c>
      <c r="F1119" s="355">
        <v>632400</v>
      </c>
      <c r="G1119" s="355" t="s">
        <v>2142</v>
      </c>
      <c r="H1119" s="26" t="s">
        <v>19</v>
      </c>
      <c r="I1119" s="26" t="s">
        <v>3061</v>
      </c>
    </row>
    <row r="1120" spans="1:9" ht="99">
      <c r="A1120" s="238">
        <v>1118</v>
      </c>
      <c r="B1120" s="28" t="s">
        <v>1103</v>
      </c>
      <c r="C1120" s="37" t="s">
        <v>2545</v>
      </c>
      <c r="D1120" s="37" t="s">
        <v>2546</v>
      </c>
      <c r="E1120" s="360" t="s">
        <v>2547</v>
      </c>
      <c r="F1120" s="355">
        <v>4336416</v>
      </c>
      <c r="G1120" s="355" t="s">
        <v>2142</v>
      </c>
      <c r="H1120" s="26" t="s">
        <v>29</v>
      </c>
      <c r="I1120" s="26" t="s">
        <v>3061</v>
      </c>
    </row>
    <row r="1121" spans="1:9" ht="165">
      <c r="A1121" s="238">
        <v>1119</v>
      </c>
      <c r="B1121" s="28" t="s">
        <v>1103</v>
      </c>
      <c r="C1121" s="37" t="s">
        <v>2234</v>
      </c>
      <c r="D1121" s="37" t="s">
        <v>2548</v>
      </c>
      <c r="E1121" s="360" t="s">
        <v>2549</v>
      </c>
      <c r="F1121" s="355">
        <v>1130121</v>
      </c>
      <c r="G1121" s="355" t="s">
        <v>2142</v>
      </c>
      <c r="H1121" s="26" t="s">
        <v>29</v>
      </c>
      <c r="I1121" s="26" t="s">
        <v>3061</v>
      </c>
    </row>
    <row r="1122" spans="1:9" ht="99">
      <c r="A1122" s="238">
        <v>1120</v>
      </c>
      <c r="B1122" s="28" t="s">
        <v>1103</v>
      </c>
      <c r="C1122" s="37" t="s">
        <v>2382</v>
      </c>
      <c r="D1122" s="37" t="s">
        <v>2550</v>
      </c>
      <c r="E1122" s="360" t="s">
        <v>2323</v>
      </c>
      <c r="F1122" s="355">
        <v>120200</v>
      </c>
      <c r="G1122" s="355" t="s">
        <v>2142</v>
      </c>
      <c r="H1122" s="26" t="s">
        <v>77</v>
      </c>
      <c r="I1122" s="26" t="s">
        <v>3061</v>
      </c>
    </row>
    <row r="1123" spans="1:9" ht="82.5">
      <c r="A1123" s="238">
        <v>1121</v>
      </c>
      <c r="B1123" s="28" t="s">
        <v>1103</v>
      </c>
      <c r="C1123" s="37" t="s">
        <v>2551</v>
      </c>
      <c r="D1123" s="37" t="s">
        <v>2552</v>
      </c>
      <c r="E1123" s="354" t="s">
        <v>2323</v>
      </c>
      <c r="F1123" s="355">
        <v>678185</v>
      </c>
      <c r="G1123" s="355" t="s">
        <v>2142</v>
      </c>
      <c r="H1123" s="26" t="s">
        <v>77</v>
      </c>
      <c r="I1123" s="26" t="s">
        <v>3061</v>
      </c>
    </row>
    <row r="1124" spans="1:9" ht="165">
      <c r="A1124" s="238">
        <v>1122</v>
      </c>
      <c r="B1124" s="28" t="s">
        <v>1130</v>
      </c>
      <c r="C1124" s="37" t="s">
        <v>2234</v>
      </c>
      <c r="D1124" s="37" t="s">
        <v>2553</v>
      </c>
      <c r="E1124" s="360" t="s">
        <v>2554</v>
      </c>
      <c r="F1124" s="355">
        <v>25583089</v>
      </c>
      <c r="G1124" s="355" t="s">
        <v>2142</v>
      </c>
      <c r="H1124" s="26" t="s">
        <v>29</v>
      </c>
      <c r="I1124" s="26" t="s">
        <v>3061</v>
      </c>
    </row>
    <row r="1125" spans="1:9" ht="132">
      <c r="A1125" s="238">
        <v>1123</v>
      </c>
      <c r="B1125" s="28" t="s">
        <v>1130</v>
      </c>
      <c r="C1125" s="37" t="s">
        <v>2234</v>
      </c>
      <c r="D1125" s="37" t="s">
        <v>2555</v>
      </c>
      <c r="E1125" s="360" t="s">
        <v>2403</v>
      </c>
      <c r="F1125" s="355">
        <v>8061785</v>
      </c>
      <c r="G1125" s="355" t="s">
        <v>2142</v>
      </c>
      <c r="H1125" s="26" t="s">
        <v>87</v>
      </c>
      <c r="I1125" s="26" t="s">
        <v>3061</v>
      </c>
    </row>
    <row r="1126" spans="1:9" ht="165">
      <c r="A1126" s="238">
        <v>1124</v>
      </c>
      <c r="B1126" s="28" t="s">
        <v>1158</v>
      </c>
      <c r="C1126" s="37" t="s">
        <v>2234</v>
      </c>
      <c r="D1126" s="37" t="s">
        <v>2556</v>
      </c>
      <c r="E1126" s="360" t="s">
        <v>2557</v>
      </c>
      <c r="F1126" s="355">
        <v>1283042</v>
      </c>
      <c r="G1126" s="355" t="s">
        <v>2142</v>
      </c>
      <c r="H1126" s="26" t="s">
        <v>29</v>
      </c>
      <c r="I1126" s="26" t="s">
        <v>3061</v>
      </c>
    </row>
    <row r="1127" spans="1:9" ht="82.5">
      <c r="A1127" s="238">
        <v>1125</v>
      </c>
      <c r="B1127" s="28" t="s">
        <v>2558</v>
      </c>
      <c r="C1127" s="37" t="s">
        <v>2458</v>
      </c>
      <c r="D1127" s="37" t="s">
        <v>2559</v>
      </c>
      <c r="E1127" s="360" t="s">
        <v>2560</v>
      </c>
      <c r="F1127" s="361">
        <v>68673779.540000007</v>
      </c>
      <c r="G1127" s="355" t="s">
        <v>2142</v>
      </c>
      <c r="H1127" s="356" t="s">
        <v>12</v>
      </c>
      <c r="I1127" s="26" t="s">
        <v>3061</v>
      </c>
    </row>
    <row r="1128" spans="1:9" ht="99">
      <c r="A1128" s="238">
        <v>1126</v>
      </c>
      <c r="B1128" s="28" t="s">
        <v>1231</v>
      </c>
      <c r="C1128" s="37" t="s">
        <v>2561</v>
      </c>
      <c r="D1128" s="37" t="s">
        <v>2562</v>
      </c>
      <c r="E1128" s="354" t="s">
        <v>2315</v>
      </c>
      <c r="F1128" s="355">
        <v>7129780</v>
      </c>
      <c r="G1128" s="355" t="s">
        <v>2142</v>
      </c>
      <c r="H1128" s="26" t="s">
        <v>87</v>
      </c>
      <c r="I1128" s="26" t="s">
        <v>3061</v>
      </c>
    </row>
    <row r="1129" spans="1:9" ht="115.5">
      <c r="A1129" s="238">
        <v>1127</v>
      </c>
      <c r="B1129" s="28" t="s">
        <v>1231</v>
      </c>
      <c r="C1129" s="37" t="s">
        <v>2563</v>
      </c>
      <c r="D1129" s="37" t="s">
        <v>2564</v>
      </c>
      <c r="E1129" s="360" t="s">
        <v>2565</v>
      </c>
      <c r="F1129" s="355">
        <v>39577475</v>
      </c>
      <c r="G1129" s="355" t="s">
        <v>2142</v>
      </c>
      <c r="H1129" s="26" t="s">
        <v>87</v>
      </c>
      <c r="I1129" s="26" t="s">
        <v>3061</v>
      </c>
    </row>
    <row r="1130" spans="1:9" ht="99">
      <c r="A1130" s="238">
        <v>1128</v>
      </c>
      <c r="B1130" s="28" t="s">
        <v>1231</v>
      </c>
      <c r="C1130" s="37" t="s">
        <v>2566</v>
      </c>
      <c r="D1130" s="37" t="s">
        <v>2567</v>
      </c>
      <c r="E1130" s="362" t="s">
        <v>2184</v>
      </c>
      <c r="F1130" s="355">
        <v>802103</v>
      </c>
      <c r="G1130" s="355" t="s">
        <v>2142</v>
      </c>
      <c r="H1130" s="26" t="s">
        <v>29</v>
      </c>
      <c r="I1130" s="26" t="s">
        <v>3061</v>
      </c>
    </row>
    <row r="1131" spans="1:9" ht="82.5">
      <c r="A1131" s="238">
        <v>1129</v>
      </c>
      <c r="B1131" s="28" t="s">
        <v>1231</v>
      </c>
      <c r="C1131" s="37" t="s">
        <v>2568</v>
      </c>
      <c r="D1131" s="37" t="s">
        <v>2569</v>
      </c>
      <c r="E1131" s="360" t="s">
        <v>2184</v>
      </c>
      <c r="F1131" s="355">
        <v>2854654</v>
      </c>
      <c r="G1131" s="355" t="s">
        <v>2142</v>
      </c>
      <c r="H1131" s="26" t="s">
        <v>29</v>
      </c>
      <c r="I1131" s="26" t="s">
        <v>3061</v>
      </c>
    </row>
    <row r="1132" spans="1:9" ht="99">
      <c r="A1132" s="238">
        <v>1130</v>
      </c>
      <c r="B1132" s="28" t="s">
        <v>2570</v>
      </c>
      <c r="C1132" s="37" t="s">
        <v>2571</v>
      </c>
      <c r="D1132" s="37" t="s">
        <v>2572</v>
      </c>
      <c r="E1132" s="354" t="s">
        <v>1224</v>
      </c>
      <c r="F1132" s="355">
        <v>7005320</v>
      </c>
      <c r="G1132" s="355" t="s">
        <v>2142</v>
      </c>
      <c r="H1132" s="26" t="s">
        <v>29</v>
      </c>
      <c r="I1132" s="26" t="s">
        <v>3061</v>
      </c>
    </row>
    <row r="1133" spans="1:9" ht="82.5">
      <c r="A1133" s="238">
        <v>1131</v>
      </c>
      <c r="B1133" s="28" t="s">
        <v>2570</v>
      </c>
      <c r="C1133" s="37" t="s">
        <v>2573</v>
      </c>
      <c r="D1133" s="37" t="s">
        <v>2574</v>
      </c>
      <c r="E1133" s="360" t="s">
        <v>2184</v>
      </c>
      <c r="F1133" s="355">
        <v>581269</v>
      </c>
      <c r="G1133" s="355" t="s">
        <v>2142</v>
      </c>
      <c r="H1133" s="26" t="s">
        <v>29</v>
      </c>
      <c r="I1133" s="26" t="s">
        <v>3061</v>
      </c>
    </row>
    <row r="1134" spans="1:9" ht="99">
      <c r="A1134" s="238">
        <v>1132</v>
      </c>
      <c r="B1134" s="28" t="s">
        <v>2575</v>
      </c>
      <c r="C1134" s="37" t="s">
        <v>2291</v>
      </c>
      <c r="D1134" s="37" t="s">
        <v>2576</v>
      </c>
      <c r="E1134" s="354" t="s">
        <v>2293</v>
      </c>
      <c r="F1134" s="355">
        <v>322155</v>
      </c>
      <c r="G1134" s="355" t="s">
        <v>2142</v>
      </c>
      <c r="H1134" s="26" t="s">
        <v>29</v>
      </c>
      <c r="I1134" s="26" t="s">
        <v>3061</v>
      </c>
    </row>
    <row r="1135" spans="1:9" ht="115.5">
      <c r="A1135" s="238">
        <v>1133</v>
      </c>
      <c r="B1135" s="28" t="s">
        <v>2575</v>
      </c>
      <c r="C1135" s="37" t="s">
        <v>2577</v>
      </c>
      <c r="D1135" s="37" t="s">
        <v>2578</v>
      </c>
      <c r="E1135" s="360" t="s">
        <v>2579</v>
      </c>
      <c r="F1135" s="355">
        <v>2574435</v>
      </c>
      <c r="G1135" s="355" t="s">
        <v>2142</v>
      </c>
      <c r="H1135" s="26" t="s">
        <v>49</v>
      </c>
      <c r="I1135" s="26" t="s">
        <v>3061</v>
      </c>
    </row>
    <row r="1136" spans="1:9" ht="165">
      <c r="A1136" s="238">
        <v>1134</v>
      </c>
      <c r="B1136" s="28" t="s">
        <v>2575</v>
      </c>
      <c r="C1136" s="37" t="s">
        <v>2580</v>
      </c>
      <c r="D1136" s="37" t="s">
        <v>2581</v>
      </c>
      <c r="E1136" s="360" t="s">
        <v>2582</v>
      </c>
      <c r="F1136" s="355">
        <v>179398</v>
      </c>
      <c r="G1136" s="355" t="s">
        <v>2142</v>
      </c>
      <c r="H1136" s="26" t="s">
        <v>29</v>
      </c>
      <c r="I1136" s="26" t="s">
        <v>3061</v>
      </c>
    </row>
    <row r="1137" spans="1:9" ht="99">
      <c r="A1137" s="238">
        <v>1135</v>
      </c>
      <c r="B1137" s="28" t="s">
        <v>2583</v>
      </c>
      <c r="C1137" s="26" t="s">
        <v>2584</v>
      </c>
      <c r="D1137" s="26" t="s">
        <v>2585</v>
      </c>
      <c r="E1137" s="363" t="s">
        <v>2586</v>
      </c>
      <c r="F1137" s="365">
        <v>1124000</v>
      </c>
      <c r="G1137" s="355" t="s">
        <v>2142</v>
      </c>
      <c r="H1137" s="26" t="s">
        <v>47</v>
      </c>
      <c r="I1137" s="26" t="s">
        <v>3061</v>
      </c>
    </row>
    <row r="1138" spans="1:9" ht="82.5">
      <c r="A1138" s="238">
        <v>1136</v>
      </c>
      <c r="B1138" s="28" t="s">
        <v>2587</v>
      </c>
      <c r="C1138" s="26" t="s">
        <v>2588</v>
      </c>
      <c r="D1138" s="26" t="s">
        <v>2589</v>
      </c>
      <c r="E1138" s="363" t="s">
        <v>2590</v>
      </c>
      <c r="F1138" s="7">
        <v>9391350</v>
      </c>
      <c r="G1138" s="355" t="s">
        <v>2142</v>
      </c>
      <c r="H1138" s="26" t="s">
        <v>47</v>
      </c>
      <c r="I1138" s="26" t="s">
        <v>3061</v>
      </c>
    </row>
    <row r="1139" spans="1:9" ht="66">
      <c r="A1139" s="238">
        <v>1137</v>
      </c>
      <c r="B1139" s="28" t="s">
        <v>2591</v>
      </c>
      <c r="C1139" s="26" t="s">
        <v>2592</v>
      </c>
      <c r="D1139" s="26" t="s">
        <v>2593</v>
      </c>
      <c r="E1139" s="364" t="s">
        <v>2594</v>
      </c>
      <c r="F1139" s="365">
        <v>34606.68</v>
      </c>
      <c r="G1139" s="355" t="s">
        <v>2142</v>
      </c>
      <c r="H1139" s="26" t="s">
        <v>47</v>
      </c>
      <c r="I1139" s="26" t="s">
        <v>3061</v>
      </c>
    </row>
    <row r="1140" spans="1:9" ht="99">
      <c r="A1140" s="238">
        <v>1138</v>
      </c>
      <c r="B1140" s="28" t="s">
        <v>2595</v>
      </c>
      <c r="C1140" s="26" t="s">
        <v>2596</v>
      </c>
      <c r="D1140" s="26" t="s">
        <v>2597</v>
      </c>
      <c r="E1140" s="363" t="s">
        <v>2598</v>
      </c>
      <c r="F1140" s="365">
        <v>30200000</v>
      </c>
      <c r="G1140" s="355" t="s">
        <v>2142</v>
      </c>
      <c r="H1140" s="26" t="s">
        <v>47</v>
      </c>
      <c r="I1140" s="26" t="s">
        <v>3061</v>
      </c>
    </row>
    <row r="1141" spans="1:9" ht="99">
      <c r="A1141" s="238">
        <v>1139</v>
      </c>
      <c r="B1141" s="28" t="s">
        <v>2599</v>
      </c>
      <c r="C1141" s="26" t="s">
        <v>2596</v>
      </c>
      <c r="D1141" s="26" t="s">
        <v>2600</v>
      </c>
      <c r="E1141" s="363" t="s">
        <v>2601</v>
      </c>
      <c r="F1141" s="7">
        <v>85947985</v>
      </c>
      <c r="G1141" s="355" t="s">
        <v>2142</v>
      </c>
      <c r="H1141" s="26" t="s">
        <v>47</v>
      </c>
      <c r="I1141" s="26" t="s">
        <v>3061</v>
      </c>
    </row>
    <row r="1142" spans="1:9" ht="82.5">
      <c r="A1142" s="238">
        <v>1140</v>
      </c>
      <c r="B1142" s="28" t="s">
        <v>2602</v>
      </c>
      <c r="C1142" s="26" t="s">
        <v>2603</v>
      </c>
      <c r="D1142" s="26" t="s">
        <v>2604</v>
      </c>
      <c r="E1142" s="363" t="s">
        <v>2605</v>
      </c>
      <c r="F1142" s="7">
        <v>395013</v>
      </c>
      <c r="G1142" s="355" t="s">
        <v>2142</v>
      </c>
      <c r="H1142" s="26" t="s">
        <v>47</v>
      </c>
      <c r="I1142" s="26" t="s">
        <v>3061</v>
      </c>
    </row>
    <row r="1143" spans="1:9" ht="82.5">
      <c r="A1143" s="238">
        <v>1141</v>
      </c>
      <c r="B1143" s="28" t="s">
        <v>2602</v>
      </c>
      <c r="C1143" s="26" t="s">
        <v>2606</v>
      </c>
      <c r="D1143" s="26" t="s">
        <v>2607</v>
      </c>
      <c r="E1143" s="363" t="s">
        <v>2608</v>
      </c>
      <c r="F1143" s="7">
        <v>108626127</v>
      </c>
      <c r="G1143" s="355" t="s">
        <v>2142</v>
      </c>
      <c r="H1143" s="26" t="s">
        <v>47</v>
      </c>
      <c r="I1143" s="26" t="s">
        <v>3061</v>
      </c>
    </row>
    <row r="1144" spans="1:9" ht="66">
      <c r="A1144" s="238">
        <v>1142</v>
      </c>
      <c r="B1144" s="28" t="s">
        <v>1832</v>
      </c>
      <c r="C1144" s="37" t="s">
        <v>2208</v>
      </c>
      <c r="D1144" s="37" t="s">
        <v>2609</v>
      </c>
      <c r="E1144" s="360" t="s">
        <v>2210</v>
      </c>
      <c r="F1144" s="361">
        <v>230635</v>
      </c>
      <c r="G1144" s="355" t="s">
        <v>2142</v>
      </c>
      <c r="H1144" s="26" t="s">
        <v>52</v>
      </c>
      <c r="I1144" s="26" t="s">
        <v>3061</v>
      </c>
    </row>
    <row r="1145" spans="1:9" ht="82.5">
      <c r="A1145" s="238">
        <v>1143</v>
      </c>
      <c r="B1145" s="28" t="s">
        <v>1832</v>
      </c>
      <c r="C1145" s="37" t="s">
        <v>2610</v>
      </c>
      <c r="D1145" s="37" t="s">
        <v>2611</v>
      </c>
      <c r="E1145" s="354" t="s">
        <v>2612</v>
      </c>
      <c r="F1145" s="355">
        <v>1249366</v>
      </c>
      <c r="G1145" s="355" t="s">
        <v>2142</v>
      </c>
      <c r="H1145" s="356" t="s">
        <v>12</v>
      </c>
      <c r="I1145" s="26" t="s">
        <v>3061</v>
      </c>
    </row>
    <row r="1146" spans="1:9" ht="99">
      <c r="A1146" s="238">
        <v>1144</v>
      </c>
      <c r="B1146" s="28" t="s">
        <v>1831</v>
      </c>
      <c r="C1146" s="37" t="s">
        <v>2545</v>
      </c>
      <c r="D1146" s="37" t="s">
        <v>2613</v>
      </c>
      <c r="E1146" s="354" t="s">
        <v>2614</v>
      </c>
      <c r="F1146" s="355">
        <v>112675</v>
      </c>
      <c r="G1146" s="355" t="s">
        <v>2142</v>
      </c>
      <c r="H1146" s="356" t="s">
        <v>12</v>
      </c>
      <c r="I1146" s="26" t="s">
        <v>3061</v>
      </c>
    </row>
    <row r="1147" spans="1:9" ht="99">
      <c r="A1147" s="238">
        <v>1145</v>
      </c>
      <c r="B1147" s="28" t="s">
        <v>1831</v>
      </c>
      <c r="C1147" s="37" t="s">
        <v>2615</v>
      </c>
      <c r="D1147" s="37" t="s">
        <v>2616</v>
      </c>
      <c r="E1147" s="354" t="s">
        <v>2617</v>
      </c>
      <c r="F1147" s="355">
        <v>50532</v>
      </c>
      <c r="G1147" s="355" t="s">
        <v>2142</v>
      </c>
      <c r="H1147" s="356" t="s">
        <v>12</v>
      </c>
      <c r="I1147" s="26" t="s">
        <v>3061</v>
      </c>
    </row>
    <row r="1148" spans="1:9" ht="66">
      <c r="A1148" s="238">
        <v>1146</v>
      </c>
      <c r="B1148" s="28" t="s">
        <v>1831</v>
      </c>
      <c r="C1148" s="37" t="s">
        <v>2172</v>
      </c>
      <c r="D1148" s="37" t="s">
        <v>2618</v>
      </c>
      <c r="E1148" s="360" t="s">
        <v>2210</v>
      </c>
      <c r="F1148" s="361">
        <v>125396</v>
      </c>
      <c r="G1148" s="355" t="s">
        <v>2142</v>
      </c>
      <c r="H1148" s="26" t="s">
        <v>52</v>
      </c>
      <c r="I1148" s="26" t="s">
        <v>3061</v>
      </c>
    </row>
    <row r="1149" spans="1:9" ht="66">
      <c r="A1149" s="238">
        <v>1147</v>
      </c>
      <c r="B1149" s="28" t="s">
        <v>2619</v>
      </c>
      <c r="C1149" s="37" t="s">
        <v>2172</v>
      </c>
      <c r="D1149" s="37" t="s">
        <v>2620</v>
      </c>
      <c r="E1149" s="360" t="s">
        <v>2621</v>
      </c>
      <c r="F1149" s="361">
        <v>28038476</v>
      </c>
      <c r="G1149" s="355" t="s">
        <v>2142</v>
      </c>
      <c r="H1149" s="26" t="s">
        <v>47</v>
      </c>
      <c r="I1149" s="26" t="s">
        <v>3061</v>
      </c>
    </row>
    <row r="1150" spans="1:9" ht="82.5">
      <c r="A1150" s="238">
        <v>1148</v>
      </c>
      <c r="B1150" s="28" t="s">
        <v>2622</v>
      </c>
      <c r="C1150" s="37" t="s">
        <v>2458</v>
      </c>
      <c r="D1150" s="37" t="s">
        <v>2623</v>
      </c>
      <c r="E1150" s="360" t="s">
        <v>2624</v>
      </c>
      <c r="F1150" s="361">
        <v>4241328357</v>
      </c>
      <c r="G1150" s="355" t="s">
        <v>2142</v>
      </c>
      <c r="H1150" s="26" t="s">
        <v>52</v>
      </c>
      <c r="I1150" s="26" t="s">
        <v>3061</v>
      </c>
    </row>
    <row r="1151" spans="1:9" ht="132">
      <c r="A1151" s="238">
        <v>1149</v>
      </c>
      <c r="B1151" s="28" t="s">
        <v>2625</v>
      </c>
      <c r="C1151" s="37" t="s">
        <v>2626</v>
      </c>
      <c r="D1151" s="37" t="s">
        <v>2627</v>
      </c>
      <c r="E1151" s="354" t="s">
        <v>2628</v>
      </c>
      <c r="F1151" s="355">
        <v>16746750</v>
      </c>
      <c r="G1151" s="355" t="s">
        <v>2142</v>
      </c>
      <c r="H1151" s="356" t="s">
        <v>12</v>
      </c>
      <c r="I1151" s="26" t="s">
        <v>3061</v>
      </c>
    </row>
    <row r="1152" spans="1:9" ht="132">
      <c r="A1152" s="238">
        <v>1150</v>
      </c>
      <c r="B1152" s="28" t="s">
        <v>2625</v>
      </c>
      <c r="C1152" s="37" t="s">
        <v>2626</v>
      </c>
      <c r="D1152" s="37" t="s">
        <v>2629</v>
      </c>
      <c r="E1152" s="354" t="s">
        <v>2630</v>
      </c>
      <c r="F1152" s="355">
        <v>3032300</v>
      </c>
      <c r="G1152" s="355" t="s">
        <v>2142</v>
      </c>
      <c r="H1152" s="26" t="s">
        <v>19</v>
      </c>
      <c r="I1152" s="26" t="s">
        <v>3061</v>
      </c>
    </row>
    <row r="1153" spans="1:9" ht="99">
      <c r="A1153" s="238">
        <v>1151</v>
      </c>
      <c r="B1153" s="28" t="s">
        <v>2625</v>
      </c>
      <c r="C1153" s="37" t="s">
        <v>2458</v>
      </c>
      <c r="D1153" s="37" t="s">
        <v>2631</v>
      </c>
      <c r="E1153" s="360" t="s">
        <v>2632</v>
      </c>
      <c r="F1153" s="361">
        <v>6391906</v>
      </c>
      <c r="G1153" s="355" t="s">
        <v>2142</v>
      </c>
      <c r="H1153" s="26" t="s">
        <v>19</v>
      </c>
      <c r="I1153" s="26" t="s">
        <v>3061</v>
      </c>
    </row>
    <row r="1154" spans="1:9" ht="66">
      <c r="A1154" s="238">
        <v>1152</v>
      </c>
      <c r="B1154" s="28" t="s">
        <v>2625</v>
      </c>
      <c r="C1154" s="37" t="s">
        <v>2172</v>
      </c>
      <c r="D1154" s="37" t="s">
        <v>2633</v>
      </c>
      <c r="E1154" s="360" t="s">
        <v>2634</v>
      </c>
      <c r="F1154" s="361">
        <v>16202266</v>
      </c>
      <c r="G1154" s="355" t="s">
        <v>2142</v>
      </c>
      <c r="H1154" s="26" t="s">
        <v>47</v>
      </c>
      <c r="I1154" s="26" t="s">
        <v>3061</v>
      </c>
    </row>
    <row r="1155" spans="1:9" ht="66">
      <c r="A1155" s="238">
        <v>1153</v>
      </c>
      <c r="B1155" s="28" t="s">
        <v>2635</v>
      </c>
      <c r="C1155" s="37" t="s">
        <v>2172</v>
      </c>
      <c r="D1155" s="37" t="s">
        <v>2636</v>
      </c>
      <c r="E1155" s="360" t="s">
        <v>2637</v>
      </c>
      <c r="F1155" s="361">
        <v>1595051</v>
      </c>
      <c r="G1155" s="355" t="s">
        <v>2142</v>
      </c>
      <c r="H1155" s="26" t="s">
        <v>47</v>
      </c>
      <c r="I1155" s="26" t="s">
        <v>3061</v>
      </c>
    </row>
    <row r="1156" spans="1:9" ht="115.5">
      <c r="A1156" s="238">
        <v>1154</v>
      </c>
      <c r="B1156" s="28" t="s">
        <v>2638</v>
      </c>
      <c r="C1156" s="37" t="s">
        <v>2563</v>
      </c>
      <c r="D1156" s="37" t="s">
        <v>2639</v>
      </c>
      <c r="E1156" s="354" t="s">
        <v>2640</v>
      </c>
      <c r="F1156" s="355">
        <v>3876551</v>
      </c>
      <c r="G1156" s="355" t="s">
        <v>2142</v>
      </c>
      <c r="H1156" s="26" t="s">
        <v>47</v>
      </c>
      <c r="I1156" s="26" t="s">
        <v>3061</v>
      </c>
    </row>
    <row r="1157" spans="1:9" ht="132">
      <c r="A1157" s="238">
        <v>1155</v>
      </c>
      <c r="B1157" s="28" t="s">
        <v>2638</v>
      </c>
      <c r="C1157" s="37" t="s">
        <v>2626</v>
      </c>
      <c r="D1157" s="37" t="s">
        <v>2641</v>
      </c>
      <c r="E1157" s="354" t="s">
        <v>2642</v>
      </c>
      <c r="F1157" s="355">
        <v>971321</v>
      </c>
      <c r="G1157" s="355" t="s">
        <v>2142</v>
      </c>
      <c r="H1157" s="26" t="s">
        <v>47</v>
      </c>
      <c r="I1157" s="26" t="s">
        <v>3061</v>
      </c>
    </row>
    <row r="1158" spans="1:9" ht="132">
      <c r="A1158" s="238">
        <v>1156</v>
      </c>
      <c r="B1158" s="28" t="s">
        <v>2638</v>
      </c>
      <c r="C1158" s="37" t="s">
        <v>2643</v>
      </c>
      <c r="D1158" s="37" t="s">
        <v>2644</v>
      </c>
      <c r="E1158" s="354" t="s">
        <v>2645</v>
      </c>
      <c r="F1158" s="355">
        <v>2893976</v>
      </c>
      <c r="G1158" s="355" t="s">
        <v>2142</v>
      </c>
      <c r="H1158" s="26" t="s">
        <v>47</v>
      </c>
      <c r="I1158" s="26" t="s">
        <v>3061</v>
      </c>
    </row>
    <row r="1159" spans="1:9" ht="132">
      <c r="A1159" s="238">
        <v>1157</v>
      </c>
      <c r="B1159" s="28" t="s">
        <v>2638</v>
      </c>
      <c r="C1159" s="37" t="s">
        <v>2195</v>
      </c>
      <c r="D1159" s="37" t="s">
        <v>2646</v>
      </c>
      <c r="E1159" s="354" t="s">
        <v>2647</v>
      </c>
      <c r="F1159" s="355">
        <v>1434712</v>
      </c>
      <c r="G1159" s="355" t="s">
        <v>2142</v>
      </c>
      <c r="H1159" s="26" t="s">
        <v>47</v>
      </c>
      <c r="I1159" s="26" t="s">
        <v>3061</v>
      </c>
    </row>
    <row r="1160" spans="1:9" ht="82.5">
      <c r="A1160" s="238">
        <v>1158</v>
      </c>
      <c r="B1160" s="28" t="s">
        <v>2648</v>
      </c>
      <c r="C1160" s="37" t="s">
        <v>2649</v>
      </c>
      <c r="D1160" s="37" t="s">
        <v>2650</v>
      </c>
      <c r="E1160" s="360" t="s">
        <v>2651</v>
      </c>
      <c r="F1160" s="361">
        <v>4492765989</v>
      </c>
      <c r="G1160" s="355" t="s">
        <v>2142</v>
      </c>
      <c r="H1160" s="356" t="s">
        <v>12</v>
      </c>
      <c r="I1160" s="26" t="s">
        <v>3061</v>
      </c>
    </row>
    <row r="1161" spans="1:9" ht="115.5">
      <c r="A1161" s="238">
        <v>1159</v>
      </c>
      <c r="B1161" s="28" t="s">
        <v>2652</v>
      </c>
      <c r="C1161" s="37" t="s">
        <v>2653</v>
      </c>
      <c r="D1161" s="37" t="s">
        <v>2654</v>
      </c>
      <c r="E1161" s="360" t="s">
        <v>2655</v>
      </c>
      <c r="F1161" s="361">
        <v>3286204402.73</v>
      </c>
      <c r="G1161" s="355" t="s">
        <v>2142</v>
      </c>
      <c r="H1161" s="26" t="s">
        <v>47</v>
      </c>
      <c r="I1161" s="26" t="s">
        <v>3061</v>
      </c>
    </row>
    <row r="1162" spans="1:9" ht="82.5">
      <c r="A1162" s="238">
        <v>1160</v>
      </c>
      <c r="B1162" s="28" t="s">
        <v>2652</v>
      </c>
      <c r="C1162" s="37" t="s">
        <v>2653</v>
      </c>
      <c r="D1162" s="37" t="s">
        <v>2656</v>
      </c>
      <c r="E1162" s="360" t="s">
        <v>2657</v>
      </c>
      <c r="F1162" s="361">
        <v>2502141374</v>
      </c>
      <c r="G1162" s="355" t="s">
        <v>2142</v>
      </c>
      <c r="H1162" s="26" t="s">
        <v>47</v>
      </c>
      <c r="I1162" s="26" t="s">
        <v>3061</v>
      </c>
    </row>
    <row r="1163" spans="1:9" ht="82.5">
      <c r="A1163" s="238">
        <v>1161</v>
      </c>
      <c r="B1163" s="28" t="s">
        <v>2652</v>
      </c>
      <c r="C1163" s="37" t="s">
        <v>2649</v>
      </c>
      <c r="D1163" s="37" t="s">
        <v>2658</v>
      </c>
      <c r="E1163" s="360" t="s">
        <v>2659</v>
      </c>
      <c r="F1163" s="361">
        <v>2172748484</v>
      </c>
      <c r="G1163" s="355" t="s">
        <v>2142</v>
      </c>
      <c r="H1163" s="26" t="s">
        <v>47</v>
      </c>
      <c r="I1163" s="26" t="s">
        <v>3061</v>
      </c>
    </row>
    <row r="1164" spans="1:9" ht="115.5">
      <c r="A1164" s="238">
        <v>1162</v>
      </c>
      <c r="B1164" s="28" t="s">
        <v>2652</v>
      </c>
      <c r="C1164" s="37" t="s">
        <v>2660</v>
      </c>
      <c r="D1164" s="37" t="s">
        <v>2661</v>
      </c>
      <c r="E1164" s="360" t="s">
        <v>2662</v>
      </c>
      <c r="F1164" s="361">
        <v>2984659886</v>
      </c>
      <c r="G1164" s="355" t="s">
        <v>2142</v>
      </c>
      <c r="H1164" s="356" t="s">
        <v>12</v>
      </c>
      <c r="I1164" s="26" t="s">
        <v>3061</v>
      </c>
    </row>
    <row r="1165" spans="1:9" ht="99">
      <c r="A1165" s="238">
        <v>1163</v>
      </c>
      <c r="B1165" s="28" t="s">
        <v>2652</v>
      </c>
      <c r="C1165" s="37" t="s">
        <v>2458</v>
      </c>
      <c r="D1165" s="37" t="s">
        <v>2663</v>
      </c>
      <c r="E1165" s="360" t="s">
        <v>2664</v>
      </c>
      <c r="F1165" s="366">
        <v>730795910</v>
      </c>
      <c r="G1165" s="355" t="s">
        <v>2142</v>
      </c>
      <c r="H1165" s="356" t="s">
        <v>12</v>
      </c>
      <c r="I1165" s="26" t="s">
        <v>3061</v>
      </c>
    </row>
    <row r="1166" spans="1:9" ht="99">
      <c r="A1166" s="238">
        <v>1164</v>
      </c>
      <c r="B1166" s="28" t="s">
        <v>2652</v>
      </c>
      <c r="C1166" s="37" t="s">
        <v>2458</v>
      </c>
      <c r="D1166" s="37" t="s">
        <v>2665</v>
      </c>
      <c r="E1166" s="360" t="s">
        <v>2666</v>
      </c>
      <c r="F1166" s="366">
        <v>730795910</v>
      </c>
      <c r="G1166" s="355" t="s">
        <v>2142</v>
      </c>
      <c r="H1166" s="356" t="s">
        <v>12</v>
      </c>
      <c r="I1166" s="26" t="s">
        <v>3061</v>
      </c>
    </row>
    <row r="1167" spans="1:9" ht="99">
      <c r="A1167" s="238">
        <v>1165</v>
      </c>
      <c r="B1167" s="28" t="s">
        <v>2667</v>
      </c>
      <c r="C1167" s="37" t="s">
        <v>2668</v>
      </c>
      <c r="D1167" s="37" t="s">
        <v>2669</v>
      </c>
      <c r="E1167" s="360" t="s">
        <v>2670</v>
      </c>
      <c r="F1167" s="361">
        <v>1033773481</v>
      </c>
      <c r="G1167" s="355" t="s">
        <v>2142</v>
      </c>
      <c r="H1167" s="356" t="s">
        <v>12</v>
      </c>
      <c r="I1167" s="26" t="s">
        <v>3061</v>
      </c>
    </row>
    <row r="1168" spans="1:9" ht="99">
      <c r="A1168" s="238">
        <v>1166</v>
      </c>
      <c r="B1168" s="28" t="s">
        <v>2671</v>
      </c>
      <c r="C1168" s="37" t="s">
        <v>2672</v>
      </c>
      <c r="D1168" s="37" t="s">
        <v>2673</v>
      </c>
      <c r="E1168" s="354" t="s">
        <v>2674</v>
      </c>
      <c r="F1168" s="355">
        <v>53159.81</v>
      </c>
      <c r="G1168" s="355" t="s">
        <v>2142</v>
      </c>
      <c r="H1168" s="26" t="s">
        <v>44</v>
      </c>
      <c r="I1168" s="26" t="s">
        <v>3061</v>
      </c>
    </row>
    <row r="1169" spans="1:9" ht="99">
      <c r="A1169" s="238">
        <v>1167</v>
      </c>
      <c r="B1169" s="28" t="s">
        <v>2675</v>
      </c>
      <c r="C1169" s="37" t="s">
        <v>2676</v>
      </c>
      <c r="D1169" s="37" t="s">
        <v>2677</v>
      </c>
      <c r="E1169" s="354" t="s">
        <v>2674</v>
      </c>
      <c r="F1169" s="355">
        <v>44080</v>
      </c>
      <c r="G1169" s="355" t="s">
        <v>2142</v>
      </c>
      <c r="H1169" s="26" t="s">
        <v>44</v>
      </c>
      <c r="I1169" s="26" t="s">
        <v>3061</v>
      </c>
    </row>
    <row r="1170" spans="1:9" ht="99">
      <c r="A1170" s="238">
        <v>1168</v>
      </c>
      <c r="B1170" s="28" t="s">
        <v>2678</v>
      </c>
      <c r="C1170" s="26" t="s">
        <v>2679</v>
      </c>
      <c r="D1170" s="26" t="s">
        <v>2680</v>
      </c>
      <c r="E1170" s="363" t="s">
        <v>2681</v>
      </c>
      <c r="F1170" s="7">
        <v>729882</v>
      </c>
      <c r="G1170" s="355" t="s">
        <v>2142</v>
      </c>
      <c r="H1170" s="26" t="s">
        <v>52</v>
      </c>
      <c r="I1170" s="26" t="s">
        <v>3061</v>
      </c>
    </row>
    <row r="1171" spans="1:9" ht="66">
      <c r="A1171" s="238">
        <v>1169</v>
      </c>
      <c r="B1171" s="28" t="s">
        <v>2682</v>
      </c>
      <c r="C1171" s="37" t="s">
        <v>2208</v>
      </c>
      <c r="D1171" s="37" t="s">
        <v>2683</v>
      </c>
      <c r="E1171" s="360" t="s">
        <v>2210</v>
      </c>
      <c r="F1171" s="361">
        <v>56395</v>
      </c>
      <c r="G1171" s="355" t="s">
        <v>2142</v>
      </c>
      <c r="H1171" s="26" t="s">
        <v>52</v>
      </c>
      <c r="I1171" s="26" t="s">
        <v>3061</v>
      </c>
    </row>
    <row r="1172" spans="1:9" ht="99">
      <c r="A1172" s="238">
        <v>1170</v>
      </c>
      <c r="B1172" s="28" t="s">
        <v>2684</v>
      </c>
      <c r="C1172" s="37" t="s">
        <v>2685</v>
      </c>
      <c r="D1172" s="37" t="s">
        <v>2686</v>
      </c>
      <c r="E1172" s="354" t="s">
        <v>2674</v>
      </c>
      <c r="F1172" s="355">
        <v>15497</v>
      </c>
      <c r="G1172" s="355" t="s">
        <v>2142</v>
      </c>
      <c r="H1172" s="26" t="s">
        <v>44</v>
      </c>
      <c r="I1172" s="26" t="s">
        <v>3061</v>
      </c>
    </row>
    <row r="1173" spans="1:9" ht="82.5">
      <c r="A1173" s="238">
        <v>1171</v>
      </c>
      <c r="B1173" s="28" t="s">
        <v>2687</v>
      </c>
      <c r="C1173" s="26" t="s">
        <v>2688</v>
      </c>
      <c r="D1173" s="26" t="s">
        <v>2689</v>
      </c>
      <c r="E1173" s="363" t="s">
        <v>2690</v>
      </c>
      <c r="F1173" s="7">
        <v>6257966</v>
      </c>
      <c r="G1173" s="355" t="s">
        <v>2142</v>
      </c>
      <c r="H1173" s="356" t="s">
        <v>12</v>
      </c>
      <c r="I1173" s="26" t="s">
        <v>3061</v>
      </c>
    </row>
    <row r="1174" spans="1:9" ht="99">
      <c r="A1174" s="238">
        <v>1172</v>
      </c>
      <c r="B1174" s="28" t="s">
        <v>2691</v>
      </c>
      <c r="C1174" s="37" t="s">
        <v>2455</v>
      </c>
      <c r="D1174" s="37" t="s">
        <v>2692</v>
      </c>
      <c r="E1174" s="354" t="s">
        <v>2693</v>
      </c>
      <c r="F1174" s="355">
        <v>266586.38</v>
      </c>
      <c r="G1174" s="355" t="s">
        <v>2142</v>
      </c>
      <c r="H1174" s="26" t="s">
        <v>2166</v>
      </c>
      <c r="I1174" s="26" t="s">
        <v>3061</v>
      </c>
    </row>
    <row r="1175" spans="1:9" ht="66">
      <c r="A1175" s="238">
        <v>1173</v>
      </c>
      <c r="B1175" s="28" t="s">
        <v>2694</v>
      </c>
      <c r="C1175" s="37" t="s">
        <v>2208</v>
      </c>
      <c r="D1175" s="37" t="s">
        <v>2695</v>
      </c>
      <c r="E1175" s="360" t="s">
        <v>2210</v>
      </c>
      <c r="F1175" s="361">
        <v>726965</v>
      </c>
      <c r="G1175" s="355" t="s">
        <v>2142</v>
      </c>
      <c r="H1175" s="26" t="s">
        <v>52</v>
      </c>
      <c r="I1175" s="26" t="s">
        <v>3061</v>
      </c>
    </row>
    <row r="1176" spans="1:9" ht="132">
      <c r="A1176" s="238">
        <v>1174</v>
      </c>
      <c r="B1176" s="28" t="s">
        <v>2696</v>
      </c>
      <c r="C1176" s="26" t="s">
        <v>2697</v>
      </c>
      <c r="D1176" s="26" t="s">
        <v>2698</v>
      </c>
      <c r="E1176" s="363" t="s">
        <v>2699</v>
      </c>
      <c r="F1176" s="7">
        <v>48960564</v>
      </c>
      <c r="G1176" s="355" t="s">
        <v>2142</v>
      </c>
      <c r="H1176" s="26" t="s">
        <v>47</v>
      </c>
      <c r="I1176" s="26" t="s">
        <v>3061</v>
      </c>
    </row>
    <row r="1177" spans="1:9" ht="132">
      <c r="A1177" s="238">
        <v>1175</v>
      </c>
      <c r="B1177" s="28" t="s">
        <v>2700</v>
      </c>
      <c r="C1177" s="37" t="s">
        <v>2701</v>
      </c>
      <c r="D1177" s="37" t="s">
        <v>2702</v>
      </c>
      <c r="E1177" s="360" t="s">
        <v>2703</v>
      </c>
      <c r="F1177" s="361">
        <v>69876489</v>
      </c>
      <c r="G1177" s="355" t="s">
        <v>2142</v>
      </c>
      <c r="H1177" s="356" t="s">
        <v>12</v>
      </c>
      <c r="I1177" s="26" t="s">
        <v>3061</v>
      </c>
    </row>
    <row r="1178" spans="1:9" ht="115.5">
      <c r="A1178" s="238">
        <v>1176</v>
      </c>
      <c r="B1178" s="28" t="s">
        <v>2700</v>
      </c>
      <c r="C1178" s="37" t="s">
        <v>2458</v>
      </c>
      <c r="D1178" s="37" t="s">
        <v>2459</v>
      </c>
      <c r="E1178" s="360" t="s">
        <v>2460</v>
      </c>
      <c r="F1178" s="361">
        <v>295327433</v>
      </c>
      <c r="G1178" s="355" t="s">
        <v>2142</v>
      </c>
      <c r="H1178" s="356" t="s">
        <v>12</v>
      </c>
      <c r="I1178" s="26" t="s">
        <v>3061</v>
      </c>
    </row>
    <row r="1179" spans="1:9" ht="82.5">
      <c r="A1179" s="238">
        <v>1177</v>
      </c>
      <c r="B1179" s="28" t="s">
        <v>2700</v>
      </c>
      <c r="C1179" s="37" t="s">
        <v>2458</v>
      </c>
      <c r="D1179" s="37" t="s">
        <v>2559</v>
      </c>
      <c r="E1179" s="360" t="s">
        <v>2560</v>
      </c>
      <c r="F1179" s="361">
        <v>211528039.68000001</v>
      </c>
      <c r="G1179" s="355" t="s">
        <v>2142</v>
      </c>
      <c r="H1179" s="26" t="s">
        <v>44</v>
      </c>
      <c r="I1179" s="26" t="s">
        <v>3061</v>
      </c>
    </row>
    <row r="1180" spans="1:9" ht="82.5">
      <c r="A1180" s="238">
        <v>1178</v>
      </c>
      <c r="B1180" s="28" t="s">
        <v>2704</v>
      </c>
      <c r="C1180" s="37" t="s">
        <v>2705</v>
      </c>
      <c r="D1180" s="37" t="s">
        <v>2706</v>
      </c>
      <c r="E1180" s="360" t="s">
        <v>2171</v>
      </c>
      <c r="F1180" s="355">
        <v>197502</v>
      </c>
      <c r="G1180" s="355" t="s">
        <v>2142</v>
      </c>
      <c r="H1180" s="26" t="s">
        <v>44</v>
      </c>
      <c r="I1180" s="26" t="s">
        <v>3061</v>
      </c>
    </row>
    <row r="1181" spans="1:9" ht="99">
      <c r="A1181" s="238">
        <v>1179</v>
      </c>
      <c r="B1181" s="28" t="s">
        <v>2707</v>
      </c>
      <c r="C1181" s="37" t="s">
        <v>2708</v>
      </c>
      <c r="D1181" s="37" t="s">
        <v>2709</v>
      </c>
      <c r="E1181" s="354" t="s">
        <v>2710</v>
      </c>
      <c r="F1181" s="355">
        <v>837893</v>
      </c>
      <c r="G1181" s="355" t="s">
        <v>2142</v>
      </c>
      <c r="H1181" s="26" t="s">
        <v>44</v>
      </c>
      <c r="I1181" s="26" t="s">
        <v>3061</v>
      </c>
    </row>
    <row r="1182" spans="1:9" ht="82.5">
      <c r="A1182" s="238">
        <v>1180</v>
      </c>
      <c r="B1182" s="28" t="s">
        <v>2707</v>
      </c>
      <c r="C1182" s="37" t="s">
        <v>2711</v>
      </c>
      <c r="D1182" s="37" t="s">
        <v>2712</v>
      </c>
      <c r="E1182" s="354" t="s">
        <v>2713</v>
      </c>
      <c r="F1182" s="355">
        <v>70560</v>
      </c>
      <c r="G1182" s="355" t="s">
        <v>2142</v>
      </c>
      <c r="H1182" s="26" t="s">
        <v>44</v>
      </c>
      <c r="I1182" s="26" t="s">
        <v>3061</v>
      </c>
    </row>
    <row r="1183" spans="1:9" ht="99">
      <c r="A1183" s="238">
        <v>1181</v>
      </c>
      <c r="B1183" s="28" t="s">
        <v>2714</v>
      </c>
      <c r="C1183" s="37" t="s">
        <v>2715</v>
      </c>
      <c r="D1183" s="37" t="s">
        <v>2716</v>
      </c>
      <c r="E1183" s="354" t="s">
        <v>2717</v>
      </c>
      <c r="F1183" s="355">
        <v>424195</v>
      </c>
      <c r="G1183" s="355" t="s">
        <v>2142</v>
      </c>
      <c r="H1183" s="26" t="s">
        <v>47</v>
      </c>
      <c r="I1183" s="26" t="s">
        <v>3061</v>
      </c>
    </row>
    <row r="1184" spans="1:9" ht="132">
      <c r="A1184" s="238">
        <v>1182</v>
      </c>
      <c r="B1184" s="28" t="s">
        <v>2718</v>
      </c>
      <c r="C1184" s="37" t="s">
        <v>2701</v>
      </c>
      <c r="D1184" s="37" t="s">
        <v>2702</v>
      </c>
      <c r="E1184" s="360" t="s">
        <v>2703</v>
      </c>
      <c r="F1184" s="361">
        <v>151329120</v>
      </c>
      <c r="G1184" s="355" t="s">
        <v>2142</v>
      </c>
      <c r="H1184" s="356" t="s">
        <v>12</v>
      </c>
      <c r="I1184" s="26" t="s">
        <v>3061</v>
      </c>
    </row>
    <row r="1185" spans="1:9" ht="115.5">
      <c r="A1185" s="238">
        <v>1183</v>
      </c>
      <c r="B1185" s="28" t="s">
        <v>2718</v>
      </c>
      <c r="C1185" s="37" t="s">
        <v>2458</v>
      </c>
      <c r="D1185" s="37" t="s">
        <v>2459</v>
      </c>
      <c r="E1185" s="360" t="s">
        <v>2460</v>
      </c>
      <c r="F1185" s="361">
        <v>575257725</v>
      </c>
      <c r="G1185" s="355" t="s">
        <v>2142</v>
      </c>
      <c r="H1185" s="356" t="s">
        <v>12</v>
      </c>
      <c r="I1185" s="26" t="s">
        <v>3061</v>
      </c>
    </row>
    <row r="1186" spans="1:9" ht="82.5">
      <c r="A1186" s="238">
        <v>1184</v>
      </c>
      <c r="B1186" s="28" t="s">
        <v>2718</v>
      </c>
      <c r="C1186" s="37" t="s">
        <v>2458</v>
      </c>
      <c r="D1186" s="37" t="s">
        <v>2559</v>
      </c>
      <c r="E1186" s="360" t="s">
        <v>2560</v>
      </c>
      <c r="F1186" s="361">
        <v>193355143.36000001</v>
      </c>
      <c r="G1186" s="355" t="s">
        <v>2142</v>
      </c>
      <c r="H1186" s="26" t="s">
        <v>47</v>
      </c>
      <c r="I1186" s="26" t="s">
        <v>3061</v>
      </c>
    </row>
    <row r="1187" spans="1:9" ht="132">
      <c r="A1187" s="238">
        <v>1185</v>
      </c>
      <c r="B1187" s="28" t="s">
        <v>2719</v>
      </c>
      <c r="C1187" s="37" t="s">
        <v>2234</v>
      </c>
      <c r="D1187" s="37" t="s">
        <v>2720</v>
      </c>
      <c r="E1187" s="354" t="s">
        <v>2721</v>
      </c>
      <c r="F1187" s="355">
        <v>1675770</v>
      </c>
      <c r="G1187" s="355" t="s">
        <v>2142</v>
      </c>
      <c r="H1187" s="26" t="s">
        <v>19</v>
      </c>
      <c r="I1187" s="26" t="s">
        <v>3061</v>
      </c>
    </row>
    <row r="1188" spans="1:9" ht="99">
      <c r="A1188" s="238">
        <v>1186</v>
      </c>
      <c r="B1188" s="28" t="s">
        <v>2722</v>
      </c>
      <c r="C1188" s="26" t="s">
        <v>2723</v>
      </c>
      <c r="D1188" s="26" t="s">
        <v>2724</v>
      </c>
      <c r="E1188" s="363" t="s">
        <v>2725</v>
      </c>
      <c r="F1188" s="7">
        <v>6763586000</v>
      </c>
      <c r="G1188" s="355" t="s">
        <v>2142</v>
      </c>
      <c r="H1188" s="26" t="s">
        <v>47</v>
      </c>
      <c r="I1188" s="26" t="s">
        <v>3061</v>
      </c>
    </row>
    <row r="1189" spans="1:9" ht="99">
      <c r="A1189" s="238">
        <v>1187</v>
      </c>
      <c r="B1189" s="28" t="s">
        <v>2722</v>
      </c>
      <c r="C1189" s="26" t="s">
        <v>2723</v>
      </c>
      <c r="D1189" s="26" t="s">
        <v>2726</v>
      </c>
      <c r="E1189" s="363" t="s">
        <v>2727</v>
      </c>
      <c r="F1189" s="7">
        <v>15209742</v>
      </c>
      <c r="G1189" s="355" t="s">
        <v>2142</v>
      </c>
      <c r="H1189" s="26" t="s">
        <v>47</v>
      </c>
      <c r="I1189" s="26" t="s">
        <v>3061</v>
      </c>
    </row>
    <row r="1190" spans="1:9" ht="132">
      <c r="A1190" s="238">
        <v>1188</v>
      </c>
      <c r="B1190" s="28" t="s">
        <v>2722</v>
      </c>
      <c r="C1190" s="26" t="s">
        <v>2723</v>
      </c>
      <c r="D1190" s="26" t="s">
        <v>2728</v>
      </c>
      <c r="E1190" s="363" t="s">
        <v>2729</v>
      </c>
      <c r="F1190" s="365">
        <v>18078862</v>
      </c>
      <c r="G1190" s="355" t="s">
        <v>2142</v>
      </c>
      <c r="H1190" s="26" t="s">
        <v>47</v>
      </c>
      <c r="I1190" s="26" t="s">
        <v>3061</v>
      </c>
    </row>
    <row r="1191" spans="1:9" ht="82.5">
      <c r="A1191" s="238">
        <v>1189</v>
      </c>
      <c r="B1191" s="28" t="s">
        <v>2730</v>
      </c>
      <c r="C1191" s="26" t="s">
        <v>2731</v>
      </c>
      <c r="D1191" s="26" t="s">
        <v>2732</v>
      </c>
      <c r="E1191" s="363" t="s">
        <v>2733</v>
      </c>
      <c r="F1191" s="7">
        <v>919000</v>
      </c>
      <c r="G1191" s="355" t="s">
        <v>2142</v>
      </c>
      <c r="H1191" s="26" t="s">
        <v>47</v>
      </c>
      <c r="I1191" s="26" t="s">
        <v>3061</v>
      </c>
    </row>
    <row r="1192" spans="1:9" ht="82.5">
      <c r="A1192" s="238">
        <v>1190</v>
      </c>
      <c r="B1192" s="28" t="s">
        <v>2591</v>
      </c>
      <c r="C1192" s="26" t="s">
        <v>2734</v>
      </c>
      <c r="D1192" s="26" t="s">
        <v>2735</v>
      </c>
      <c r="E1192" s="363" t="s">
        <v>2736</v>
      </c>
      <c r="F1192" s="7">
        <v>1074746</v>
      </c>
      <c r="G1192" s="355" t="s">
        <v>2142</v>
      </c>
      <c r="H1192" s="26" t="s">
        <v>47</v>
      </c>
      <c r="I1192" s="26" t="s">
        <v>3061</v>
      </c>
    </row>
    <row r="1193" spans="1:9" ht="82.5">
      <c r="A1193" s="238">
        <v>1191</v>
      </c>
      <c r="B1193" s="28" t="s">
        <v>2591</v>
      </c>
      <c r="C1193" s="26" t="s">
        <v>2737</v>
      </c>
      <c r="D1193" s="26" t="s">
        <v>2738</v>
      </c>
      <c r="E1193" s="363" t="s">
        <v>2736</v>
      </c>
      <c r="F1193" s="7">
        <v>1241398</v>
      </c>
      <c r="G1193" s="355" t="s">
        <v>2142</v>
      </c>
      <c r="H1193" s="26" t="s">
        <v>47</v>
      </c>
      <c r="I1193" s="26" t="s">
        <v>3061</v>
      </c>
    </row>
    <row r="1194" spans="1:9" ht="82.5">
      <c r="A1194" s="238">
        <v>1192</v>
      </c>
      <c r="B1194" s="28" t="s">
        <v>2739</v>
      </c>
      <c r="C1194" s="26" t="s">
        <v>2740</v>
      </c>
      <c r="D1194" s="26" t="s">
        <v>2741</v>
      </c>
      <c r="E1194" s="363" t="s">
        <v>2742</v>
      </c>
      <c r="F1194" s="7">
        <v>599030</v>
      </c>
      <c r="G1194" s="355" t="s">
        <v>2142</v>
      </c>
      <c r="H1194" s="26" t="s">
        <v>47</v>
      </c>
      <c r="I1194" s="26" t="s">
        <v>3061</v>
      </c>
    </row>
    <row r="1195" spans="1:9" ht="99">
      <c r="A1195" s="238">
        <v>1193</v>
      </c>
      <c r="B1195" s="28" t="s">
        <v>2743</v>
      </c>
      <c r="C1195" s="26" t="s">
        <v>2426</v>
      </c>
      <c r="D1195" s="26" t="s">
        <v>2744</v>
      </c>
      <c r="E1195" s="363" t="s">
        <v>2745</v>
      </c>
      <c r="F1195" s="7">
        <v>1982369</v>
      </c>
      <c r="G1195" s="355" t="s">
        <v>2142</v>
      </c>
      <c r="H1195" s="26" t="s">
        <v>47</v>
      </c>
      <c r="I1195" s="26" t="s">
        <v>3061</v>
      </c>
    </row>
    <row r="1196" spans="1:9" ht="99">
      <c r="A1196" s="238">
        <v>1194</v>
      </c>
      <c r="B1196" s="28" t="s">
        <v>2743</v>
      </c>
      <c r="C1196" s="26" t="s">
        <v>2584</v>
      </c>
      <c r="D1196" s="26" t="s">
        <v>2746</v>
      </c>
      <c r="E1196" s="363" t="s">
        <v>2747</v>
      </c>
      <c r="F1196" s="7">
        <v>1451497</v>
      </c>
      <c r="G1196" s="355" t="s">
        <v>2142</v>
      </c>
      <c r="H1196" s="26" t="s">
        <v>47</v>
      </c>
      <c r="I1196" s="26" t="s">
        <v>3061</v>
      </c>
    </row>
    <row r="1197" spans="1:9" ht="99">
      <c r="A1197" s="238">
        <v>1195</v>
      </c>
      <c r="B1197" s="28" t="s">
        <v>2743</v>
      </c>
      <c r="C1197" s="26" t="s">
        <v>2584</v>
      </c>
      <c r="D1197" s="26" t="s">
        <v>2748</v>
      </c>
      <c r="E1197" s="363" t="s">
        <v>2749</v>
      </c>
      <c r="F1197" s="7">
        <v>4811197</v>
      </c>
      <c r="G1197" s="355" t="s">
        <v>2142</v>
      </c>
      <c r="H1197" s="356" t="s">
        <v>12</v>
      </c>
      <c r="I1197" s="26" t="s">
        <v>3061</v>
      </c>
    </row>
    <row r="1198" spans="1:9" ht="99">
      <c r="A1198" s="238">
        <v>1196</v>
      </c>
      <c r="B1198" s="28" t="s">
        <v>2750</v>
      </c>
      <c r="C1198" s="26" t="s">
        <v>2751</v>
      </c>
      <c r="D1198" s="26" t="s">
        <v>2752</v>
      </c>
      <c r="E1198" s="363" t="s">
        <v>2753</v>
      </c>
      <c r="F1198" s="7">
        <v>5197586.0599999996</v>
      </c>
      <c r="G1198" s="355" t="s">
        <v>2142</v>
      </c>
      <c r="H1198" s="26" t="s">
        <v>47</v>
      </c>
      <c r="I1198" s="26" t="s">
        <v>3061</v>
      </c>
    </row>
    <row r="1199" spans="1:9" ht="82.5">
      <c r="A1199" s="238">
        <v>1197</v>
      </c>
      <c r="B1199" s="28" t="s">
        <v>2754</v>
      </c>
      <c r="C1199" s="37" t="s">
        <v>2755</v>
      </c>
      <c r="D1199" s="37" t="s">
        <v>2756</v>
      </c>
      <c r="E1199" s="354" t="s">
        <v>2757</v>
      </c>
      <c r="F1199" s="355">
        <v>25426</v>
      </c>
      <c r="G1199" s="355" t="s">
        <v>2142</v>
      </c>
      <c r="H1199" s="26" t="s">
        <v>52</v>
      </c>
      <c r="I1199" s="26" t="s">
        <v>3061</v>
      </c>
    </row>
    <row r="1200" spans="1:9" ht="82.5">
      <c r="A1200" s="238">
        <v>1198</v>
      </c>
      <c r="B1200" s="28" t="s">
        <v>2754</v>
      </c>
      <c r="C1200" s="37" t="s">
        <v>2758</v>
      </c>
      <c r="D1200" s="37" t="s">
        <v>2759</v>
      </c>
      <c r="E1200" s="354" t="s">
        <v>2760</v>
      </c>
      <c r="F1200" s="355">
        <v>45541.32</v>
      </c>
      <c r="G1200" s="355" t="s">
        <v>2142</v>
      </c>
      <c r="H1200" s="26" t="s">
        <v>44</v>
      </c>
      <c r="I1200" s="26" t="s">
        <v>3061</v>
      </c>
    </row>
    <row r="1201" spans="1:9" ht="99">
      <c r="A1201" s="238">
        <v>1199</v>
      </c>
      <c r="B1201" s="28" t="s">
        <v>2754</v>
      </c>
      <c r="C1201" s="37" t="s">
        <v>2761</v>
      </c>
      <c r="D1201" s="37" t="s">
        <v>2762</v>
      </c>
      <c r="E1201" s="354" t="s">
        <v>2418</v>
      </c>
      <c r="F1201" s="355">
        <v>70484.19</v>
      </c>
      <c r="G1201" s="355" t="s">
        <v>2142</v>
      </c>
      <c r="H1201" s="26" t="s">
        <v>44</v>
      </c>
      <c r="I1201" s="26" t="s">
        <v>3061</v>
      </c>
    </row>
    <row r="1202" spans="1:9" ht="66">
      <c r="A1202" s="238">
        <v>1200</v>
      </c>
      <c r="B1202" s="28" t="s">
        <v>2763</v>
      </c>
      <c r="C1202" s="37" t="s">
        <v>2172</v>
      </c>
      <c r="D1202" s="37" t="s">
        <v>2764</v>
      </c>
      <c r="E1202" s="360" t="s">
        <v>2174</v>
      </c>
      <c r="F1202" s="361">
        <v>108769297</v>
      </c>
      <c r="G1202" s="355" t="s">
        <v>2142</v>
      </c>
      <c r="H1202" s="26" t="s">
        <v>44</v>
      </c>
      <c r="I1202" s="26" t="s">
        <v>3061</v>
      </c>
    </row>
    <row r="1203" spans="1:9" ht="66">
      <c r="A1203" s="238">
        <v>1201</v>
      </c>
      <c r="B1203" s="28" t="s">
        <v>2763</v>
      </c>
      <c r="C1203" s="37" t="s">
        <v>2172</v>
      </c>
      <c r="D1203" s="37" t="s">
        <v>2765</v>
      </c>
      <c r="E1203" s="360" t="s">
        <v>2179</v>
      </c>
      <c r="F1203" s="361">
        <v>752341</v>
      </c>
      <c r="G1203" s="355" t="s">
        <v>2142</v>
      </c>
      <c r="H1203" s="26" t="s">
        <v>44</v>
      </c>
      <c r="I1203" s="26" t="s">
        <v>3061</v>
      </c>
    </row>
    <row r="1204" spans="1:9" ht="99">
      <c r="A1204" s="238">
        <v>1202</v>
      </c>
      <c r="B1204" s="28" t="s">
        <v>2763</v>
      </c>
      <c r="C1204" s="37" t="s">
        <v>2458</v>
      </c>
      <c r="D1204" s="37" t="s">
        <v>2766</v>
      </c>
      <c r="E1204" s="360" t="s">
        <v>2767</v>
      </c>
      <c r="F1204" s="361">
        <v>4867047</v>
      </c>
      <c r="G1204" s="355" t="s">
        <v>2142</v>
      </c>
      <c r="H1204" s="26" t="s">
        <v>19</v>
      </c>
      <c r="I1204" s="26" t="s">
        <v>3061</v>
      </c>
    </row>
    <row r="1205" spans="1:9" ht="66">
      <c r="A1205" s="238">
        <v>1203</v>
      </c>
      <c r="B1205" s="28" t="s">
        <v>2763</v>
      </c>
      <c r="C1205" s="37" t="s">
        <v>2768</v>
      </c>
      <c r="D1205" s="37" t="s">
        <v>2769</v>
      </c>
      <c r="E1205" s="360" t="s">
        <v>2770</v>
      </c>
      <c r="F1205" s="361">
        <v>4281560</v>
      </c>
      <c r="G1205" s="355" t="s">
        <v>2142</v>
      </c>
      <c r="H1205" s="26" t="s">
        <v>49</v>
      </c>
      <c r="I1205" s="26" t="s">
        <v>3061</v>
      </c>
    </row>
    <row r="1206" spans="1:9" ht="66">
      <c r="A1206" s="238">
        <v>1204</v>
      </c>
      <c r="B1206" s="28" t="s">
        <v>2763</v>
      </c>
      <c r="C1206" s="37" t="s">
        <v>2771</v>
      </c>
      <c r="D1206" s="37" t="s">
        <v>2772</v>
      </c>
      <c r="E1206" s="360" t="s">
        <v>2773</v>
      </c>
      <c r="F1206" s="361">
        <v>21436380</v>
      </c>
      <c r="G1206" s="355" t="s">
        <v>2142</v>
      </c>
      <c r="H1206" s="26" t="s">
        <v>44</v>
      </c>
      <c r="I1206" s="26" t="s">
        <v>3061</v>
      </c>
    </row>
    <row r="1207" spans="1:9" ht="66">
      <c r="A1207" s="238">
        <v>1205</v>
      </c>
      <c r="B1207" s="28" t="s">
        <v>2763</v>
      </c>
      <c r="C1207" s="37" t="s">
        <v>2774</v>
      </c>
      <c r="D1207" s="37" t="s">
        <v>2775</v>
      </c>
      <c r="E1207" s="360" t="s">
        <v>2776</v>
      </c>
      <c r="F1207" s="361">
        <v>16036380</v>
      </c>
      <c r="G1207" s="355" t="s">
        <v>2142</v>
      </c>
      <c r="H1207" s="26" t="s">
        <v>77</v>
      </c>
      <c r="I1207" s="26" t="s">
        <v>3061</v>
      </c>
    </row>
    <row r="1208" spans="1:9" ht="66">
      <c r="A1208" s="238">
        <v>1206</v>
      </c>
      <c r="B1208" s="28" t="s">
        <v>2763</v>
      </c>
      <c r="C1208" s="37" t="s">
        <v>2771</v>
      </c>
      <c r="D1208" s="37" t="s">
        <v>2777</v>
      </c>
      <c r="E1208" s="360" t="s">
        <v>2778</v>
      </c>
      <c r="F1208" s="361">
        <v>110462155</v>
      </c>
      <c r="G1208" s="355" t="s">
        <v>2142</v>
      </c>
      <c r="H1208" s="26" t="s">
        <v>47</v>
      </c>
      <c r="I1208" s="26" t="s">
        <v>3061</v>
      </c>
    </row>
    <row r="1209" spans="1:9" ht="49.5">
      <c r="A1209" s="238">
        <v>1207</v>
      </c>
      <c r="B1209" s="28" t="s">
        <v>2763</v>
      </c>
      <c r="C1209" s="37" t="s">
        <v>2172</v>
      </c>
      <c r="D1209" s="37" t="s">
        <v>2779</v>
      </c>
      <c r="E1209" s="360" t="s">
        <v>2780</v>
      </c>
      <c r="F1209" s="361">
        <v>21880495</v>
      </c>
      <c r="G1209" s="355" t="s">
        <v>2142</v>
      </c>
      <c r="H1209" s="26" t="s">
        <v>49</v>
      </c>
      <c r="I1209" s="26" t="s">
        <v>3061</v>
      </c>
    </row>
    <row r="1210" spans="1:9" ht="82.5">
      <c r="A1210" s="238">
        <v>1208</v>
      </c>
      <c r="B1210" s="28" t="s">
        <v>2763</v>
      </c>
      <c r="C1210" s="37" t="s">
        <v>2781</v>
      </c>
      <c r="D1210" s="37" t="s">
        <v>2782</v>
      </c>
      <c r="E1210" s="354" t="s">
        <v>2783</v>
      </c>
      <c r="F1210" s="355">
        <v>30348</v>
      </c>
      <c r="G1210" s="355" t="s">
        <v>2142</v>
      </c>
      <c r="H1210" s="26" t="s">
        <v>47</v>
      </c>
      <c r="I1210" s="26" t="s">
        <v>3061</v>
      </c>
    </row>
    <row r="1211" spans="1:9" ht="82.5">
      <c r="A1211" s="238">
        <v>1209</v>
      </c>
      <c r="B1211" s="28" t="s">
        <v>2763</v>
      </c>
      <c r="C1211" s="37" t="s">
        <v>2262</v>
      </c>
      <c r="D1211" s="37" t="s">
        <v>2784</v>
      </c>
      <c r="E1211" s="354" t="s">
        <v>2785</v>
      </c>
      <c r="F1211" s="361">
        <v>344355935</v>
      </c>
      <c r="G1211" s="355" t="s">
        <v>2142</v>
      </c>
      <c r="H1211" s="26" t="s">
        <v>47</v>
      </c>
      <c r="I1211" s="26" t="s">
        <v>3061</v>
      </c>
    </row>
    <row r="1212" spans="1:9" ht="132">
      <c r="A1212" s="238">
        <v>1210</v>
      </c>
      <c r="B1212" s="28" t="s">
        <v>2786</v>
      </c>
      <c r="C1212" s="37" t="s">
        <v>2234</v>
      </c>
      <c r="D1212" s="37" t="s">
        <v>2787</v>
      </c>
      <c r="E1212" s="354" t="s">
        <v>2206</v>
      </c>
      <c r="F1212" s="355">
        <v>13295766</v>
      </c>
      <c r="G1212" s="355" t="s">
        <v>2142</v>
      </c>
      <c r="H1212" s="26" t="s">
        <v>52</v>
      </c>
      <c r="I1212" s="26" t="s">
        <v>3061</v>
      </c>
    </row>
    <row r="1213" spans="1:9" ht="82.5">
      <c r="A1213" s="238">
        <v>1211</v>
      </c>
      <c r="B1213" s="28" t="s">
        <v>2788</v>
      </c>
      <c r="C1213" s="37" t="s">
        <v>2789</v>
      </c>
      <c r="D1213" s="37" t="s">
        <v>2790</v>
      </c>
      <c r="E1213" s="354" t="s">
        <v>2791</v>
      </c>
      <c r="F1213" s="355">
        <v>185740</v>
      </c>
      <c r="G1213" s="355" t="s">
        <v>2142</v>
      </c>
      <c r="H1213" s="26" t="s">
        <v>44</v>
      </c>
      <c r="I1213" s="26" t="s">
        <v>3061</v>
      </c>
    </row>
    <row r="1214" spans="1:9" ht="82.5">
      <c r="A1214" s="238">
        <v>1212</v>
      </c>
      <c r="B1214" s="28" t="s">
        <v>2792</v>
      </c>
      <c r="C1214" s="37" t="s">
        <v>2793</v>
      </c>
      <c r="D1214" s="37" t="s">
        <v>2794</v>
      </c>
      <c r="E1214" s="354" t="s">
        <v>2795</v>
      </c>
      <c r="F1214" s="355">
        <v>30713</v>
      </c>
      <c r="G1214" s="355" t="s">
        <v>2142</v>
      </c>
      <c r="H1214" s="26" t="s">
        <v>44</v>
      </c>
      <c r="I1214" s="26" t="s">
        <v>3061</v>
      </c>
    </row>
    <row r="1215" spans="1:9" ht="115.5">
      <c r="A1215" s="238">
        <v>1213</v>
      </c>
      <c r="B1215" s="28" t="s">
        <v>2796</v>
      </c>
      <c r="C1215" s="37" t="s">
        <v>2701</v>
      </c>
      <c r="D1215" s="37" t="s">
        <v>2797</v>
      </c>
      <c r="E1215" s="360" t="s">
        <v>2798</v>
      </c>
      <c r="F1215" s="361">
        <v>29932954</v>
      </c>
      <c r="G1215" s="355" t="s">
        <v>2142</v>
      </c>
      <c r="H1215" s="26" t="s">
        <v>47</v>
      </c>
      <c r="I1215" s="26" t="s">
        <v>3061</v>
      </c>
    </row>
    <row r="1216" spans="1:9" ht="82.5">
      <c r="A1216" s="238">
        <v>1214</v>
      </c>
      <c r="B1216" s="28" t="s">
        <v>2799</v>
      </c>
      <c r="C1216" s="37" t="s">
        <v>2800</v>
      </c>
      <c r="D1216" s="37" t="s">
        <v>2801</v>
      </c>
      <c r="E1216" s="354" t="s">
        <v>2802</v>
      </c>
      <c r="F1216" s="355">
        <v>734288</v>
      </c>
      <c r="G1216" s="355" t="s">
        <v>2142</v>
      </c>
      <c r="H1216" s="26" t="s">
        <v>2166</v>
      </c>
      <c r="I1216" s="26" t="s">
        <v>3061</v>
      </c>
    </row>
    <row r="1217" spans="1:9" ht="99">
      <c r="A1217" s="238">
        <v>1215</v>
      </c>
      <c r="B1217" s="28" t="s">
        <v>2803</v>
      </c>
      <c r="C1217" s="37" t="s">
        <v>2333</v>
      </c>
      <c r="D1217" s="37" t="s">
        <v>2804</v>
      </c>
      <c r="E1217" s="354" t="s">
        <v>2222</v>
      </c>
      <c r="F1217" s="355">
        <v>1098797.31</v>
      </c>
      <c r="G1217" s="355" t="s">
        <v>2142</v>
      </c>
      <c r="H1217" s="26" t="s">
        <v>29</v>
      </c>
      <c r="I1217" s="26" t="s">
        <v>3061</v>
      </c>
    </row>
    <row r="1218" spans="1:9" ht="99">
      <c r="A1218" s="238">
        <v>1216</v>
      </c>
      <c r="B1218" s="28" t="s">
        <v>2803</v>
      </c>
      <c r="C1218" s="37" t="s">
        <v>2805</v>
      </c>
      <c r="D1218" s="37" t="s">
        <v>2806</v>
      </c>
      <c r="E1218" s="354" t="s">
        <v>2254</v>
      </c>
      <c r="F1218" s="355">
        <v>4042146</v>
      </c>
      <c r="G1218" s="355" t="s">
        <v>2142</v>
      </c>
      <c r="H1218" s="26" t="s">
        <v>29</v>
      </c>
      <c r="I1218" s="26" t="s">
        <v>3061</v>
      </c>
    </row>
    <row r="1219" spans="1:9" ht="99">
      <c r="A1219" s="238">
        <v>1217</v>
      </c>
      <c r="B1219" s="28" t="s">
        <v>2803</v>
      </c>
      <c r="C1219" s="37" t="s">
        <v>2272</v>
      </c>
      <c r="D1219" s="37" t="s">
        <v>2807</v>
      </c>
      <c r="E1219" s="360" t="s">
        <v>2274</v>
      </c>
      <c r="F1219" s="355">
        <v>164693</v>
      </c>
      <c r="G1219" s="355" t="s">
        <v>2142</v>
      </c>
      <c r="H1219" s="26" t="s">
        <v>29</v>
      </c>
      <c r="I1219" s="26" t="s">
        <v>3061</v>
      </c>
    </row>
    <row r="1220" spans="1:9" ht="99">
      <c r="A1220" s="238">
        <v>1218</v>
      </c>
      <c r="B1220" s="28" t="s">
        <v>2803</v>
      </c>
      <c r="C1220" s="37" t="s">
        <v>2272</v>
      </c>
      <c r="D1220" s="37" t="s">
        <v>2808</v>
      </c>
      <c r="E1220" s="360" t="s">
        <v>2274</v>
      </c>
      <c r="F1220" s="355">
        <v>38593</v>
      </c>
      <c r="G1220" s="355" t="s">
        <v>2142</v>
      </c>
      <c r="H1220" s="26" t="s">
        <v>29</v>
      </c>
      <c r="I1220" s="26" t="s">
        <v>3061</v>
      </c>
    </row>
    <row r="1221" spans="1:9" ht="99">
      <c r="A1221" s="238">
        <v>1219</v>
      </c>
      <c r="B1221" s="28" t="s">
        <v>2803</v>
      </c>
      <c r="C1221" s="37" t="s">
        <v>2272</v>
      </c>
      <c r="D1221" s="37" t="s">
        <v>2809</v>
      </c>
      <c r="E1221" s="360" t="s">
        <v>2274</v>
      </c>
      <c r="F1221" s="355">
        <v>263374</v>
      </c>
      <c r="G1221" s="355" t="s">
        <v>2142</v>
      </c>
      <c r="H1221" s="26" t="s">
        <v>29</v>
      </c>
      <c r="I1221" s="26" t="s">
        <v>3061</v>
      </c>
    </row>
    <row r="1222" spans="1:9" ht="99">
      <c r="A1222" s="238">
        <v>1220</v>
      </c>
      <c r="B1222" s="28" t="s">
        <v>2803</v>
      </c>
      <c r="C1222" s="37" t="s">
        <v>2272</v>
      </c>
      <c r="D1222" s="37" t="s">
        <v>2810</v>
      </c>
      <c r="E1222" s="360" t="s">
        <v>2274</v>
      </c>
      <c r="F1222" s="355">
        <v>57252</v>
      </c>
      <c r="G1222" s="355" t="s">
        <v>2142</v>
      </c>
      <c r="H1222" s="26" t="s">
        <v>29</v>
      </c>
      <c r="I1222" s="26" t="s">
        <v>3061</v>
      </c>
    </row>
    <row r="1223" spans="1:9" ht="99">
      <c r="A1223" s="238">
        <v>1221</v>
      </c>
      <c r="B1223" s="28" t="s">
        <v>2803</v>
      </c>
      <c r="C1223" s="37" t="s">
        <v>2272</v>
      </c>
      <c r="D1223" s="37" t="s">
        <v>2811</v>
      </c>
      <c r="E1223" s="360" t="s">
        <v>2274</v>
      </c>
      <c r="F1223" s="355">
        <v>483594</v>
      </c>
      <c r="G1223" s="355" t="s">
        <v>2142</v>
      </c>
      <c r="H1223" s="26" t="s">
        <v>29</v>
      </c>
      <c r="I1223" s="26" t="s">
        <v>3061</v>
      </c>
    </row>
    <row r="1224" spans="1:9" ht="99">
      <c r="A1224" s="238">
        <v>1222</v>
      </c>
      <c r="B1224" s="28" t="s">
        <v>2803</v>
      </c>
      <c r="C1224" s="37" t="s">
        <v>2272</v>
      </c>
      <c r="D1224" s="37" t="s">
        <v>2812</v>
      </c>
      <c r="E1224" s="360" t="s">
        <v>2274</v>
      </c>
      <c r="F1224" s="355">
        <v>157131</v>
      </c>
      <c r="G1224" s="355" t="s">
        <v>2142</v>
      </c>
      <c r="H1224" s="26" t="s">
        <v>29</v>
      </c>
      <c r="I1224" s="26" t="s">
        <v>3061</v>
      </c>
    </row>
    <row r="1225" spans="1:9" ht="115.5">
      <c r="A1225" s="238">
        <v>1223</v>
      </c>
      <c r="B1225" s="28" t="s">
        <v>2803</v>
      </c>
      <c r="C1225" s="37" t="s">
        <v>2813</v>
      </c>
      <c r="D1225" s="37" t="s">
        <v>2814</v>
      </c>
      <c r="E1225" s="354" t="s">
        <v>2315</v>
      </c>
      <c r="F1225" s="355">
        <v>2742552</v>
      </c>
      <c r="G1225" s="355" t="s">
        <v>2142</v>
      </c>
      <c r="H1225" s="26" t="s">
        <v>87</v>
      </c>
      <c r="I1225" s="26" t="s">
        <v>3061</v>
      </c>
    </row>
    <row r="1226" spans="1:9" ht="132">
      <c r="A1226" s="238">
        <v>1224</v>
      </c>
      <c r="B1226" s="28" t="s">
        <v>2803</v>
      </c>
      <c r="C1226" s="37" t="s">
        <v>2626</v>
      </c>
      <c r="D1226" s="37" t="s">
        <v>2815</v>
      </c>
      <c r="E1226" s="354" t="s">
        <v>2414</v>
      </c>
      <c r="F1226" s="355">
        <v>1901042</v>
      </c>
      <c r="G1226" s="355" t="s">
        <v>2142</v>
      </c>
      <c r="H1226" s="26" t="s">
        <v>29</v>
      </c>
      <c r="I1226" s="26" t="s">
        <v>3061</v>
      </c>
    </row>
    <row r="1227" spans="1:9" ht="132">
      <c r="A1227" s="238">
        <v>1225</v>
      </c>
      <c r="B1227" s="28" t="s">
        <v>2803</v>
      </c>
      <c r="C1227" s="37" t="s">
        <v>2816</v>
      </c>
      <c r="D1227" s="37" t="s">
        <v>2817</v>
      </c>
      <c r="E1227" s="354" t="s">
        <v>2818</v>
      </c>
      <c r="F1227" s="355">
        <v>3646238</v>
      </c>
      <c r="G1227" s="355" t="s">
        <v>2142</v>
      </c>
      <c r="H1227" s="26" t="s">
        <v>29</v>
      </c>
      <c r="I1227" s="26" t="s">
        <v>3061</v>
      </c>
    </row>
    <row r="1228" spans="1:9" ht="132">
      <c r="A1228" s="238">
        <v>1226</v>
      </c>
      <c r="B1228" s="28" t="s">
        <v>2803</v>
      </c>
      <c r="C1228" s="37" t="s">
        <v>2189</v>
      </c>
      <c r="D1228" s="37" t="s">
        <v>2819</v>
      </c>
      <c r="E1228" s="354" t="s">
        <v>2820</v>
      </c>
      <c r="F1228" s="355">
        <v>1589561</v>
      </c>
      <c r="G1228" s="355" t="s">
        <v>2142</v>
      </c>
      <c r="H1228" s="26" t="s">
        <v>29</v>
      </c>
      <c r="I1228" s="26" t="s">
        <v>3061</v>
      </c>
    </row>
    <row r="1229" spans="1:9" ht="99">
      <c r="A1229" s="238">
        <v>1227</v>
      </c>
      <c r="B1229" s="28" t="s">
        <v>2803</v>
      </c>
      <c r="C1229" s="37" t="s">
        <v>2821</v>
      </c>
      <c r="D1229" s="37" t="s">
        <v>2822</v>
      </c>
      <c r="E1229" s="354" t="s">
        <v>2353</v>
      </c>
      <c r="F1229" s="355">
        <v>2044730</v>
      </c>
      <c r="G1229" s="355" t="s">
        <v>2142</v>
      </c>
      <c r="H1229" s="26" t="s">
        <v>87</v>
      </c>
      <c r="I1229" s="26" t="s">
        <v>3061</v>
      </c>
    </row>
    <row r="1230" spans="1:9" ht="132">
      <c r="A1230" s="238">
        <v>1228</v>
      </c>
      <c r="B1230" s="28" t="s">
        <v>2823</v>
      </c>
      <c r="C1230" s="37" t="s">
        <v>2824</v>
      </c>
      <c r="D1230" s="37" t="s">
        <v>2825</v>
      </c>
      <c r="E1230" s="360" t="s">
        <v>2274</v>
      </c>
      <c r="F1230" s="355">
        <v>450712</v>
      </c>
      <c r="G1230" s="355" t="s">
        <v>2142</v>
      </c>
      <c r="H1230" s="26" t="s">
        <v>29</v>
      </c>
      <c r="I1230" s="26" t="s">
        <v>3061</v>
      </c>
    </row>
    <row r="1231" spans="1:9" ht="99">
      <c r="A1231" s="238">
        <v>1229</v>
      </c>
      <c r="B1231" s="28" t="s">
        <v>2823</v>
      </c>
      <c r="C1231" s="37" t="s">
        <v>2826</v>
      </c>
      <c r="D1231" s="37" t="s">
        <v>2827</v>
      </c>
      <c r="E1231" s="354" t="s">
        <v>2315</v>
      </c>
      <c r="F1231" s="355">
        <v>3231882</v>
      </c>
      <c r="G1231" s="355" t="s">
        <v>2142</v>
      </c>
      <c r="H1231" s="26" t="s">
        <v>87</v>
      </c>
      <c r="I1231" s="26" t="s">
        <v>3061</v>
      </c>
    </row>
    <row r="1232" spans="1:9" ht="82.5">
      <c r="A1232" s="238">
        <v>1230</v>
      </c>
      <c r="B1232" s="28" t="s">
        <v>2823</v>
      </c>
      <c r="C1232" s="37" t="s">
        <v>2828</v>
      </c>
      <c r="D1232" s="37" t="s">
        <v>2829</v>
      </c>
      <c r="E1232" s="354" t="s">
        <v>1224</v>
      </c>
      <c r="F1232" s="355">
        <v>502973</v>
      </c>
      <c r="G1232" s="355" t="s">
        <v>2142</v>
      </c>
      <c r="H1232" s="26" t="s">
        <v>29</v>
      </c>
      <c r="I1232" s="26" t="s">
        <v>3061</v>
      </c>
    </row>
    <row r="1233" spans="1:9" ht="82.5">
      <c r="A1233" s="238">
        <v>1231</v>
      </c>
      <c r="B1233" s="28" t="s">
        <v>2823</v>
      </c>
      <c r="C1233" s="37" t="s">
        <v>2504</v>
      </c>
      <c r="D1233" s="37" t="s">
        <v>2830</v>
      </c>
      <c r="E1233" s="354" t="s">
        <v>2345</v>
      </c>
      <c r="F1233" s="355">
        <v>256735</v>
      </c>
      <c r="G1233" s="355" t="s">
        <v>2142</v>
      </c>
      <c r="H1233" s="26" t="s">
        <v>29</v>
      </c>
      <c r="I1233" s="26" t="s">
        <v>3061</v>
      </c>
    </row>
    <row r="1234" spans="1:9" ht="82.5">
      <c r="A1234" s="238">
        <v>1232</v>
      </c>
      <c r="B1234" s="28" t="s">
        <v>2823</v>
      </c>
      <c r="C1234" s="37" t="s">
        <v>2831</v>
      </c>
      <c r="D1234" s="37" t="s">
        <v>2832</v>
      </c>
      <c r="E1234" s="354" t="s">
        <v>2345</v>
      </c>
      <c r="F1234" s="355">
        <v>478730</v>
      </c>
      <c r="G1234" s="355" t="s">
        <v>2142</v>
      </c>
      <c r="H1234" s="26" t="s">
        <v>29</v>
      </c>
      <c r="I1234" s="26" t="s">
        <v>3061</v>
      </c>
    </row>
    <row r="1235" spans="1:9" ht="82.5">
      <c r="A1235" s="238">
        <v>1233</v>
      </c>
      <c r="B1235" s="28" t="s">
        <v>2823</v>
      </c>
      <c r="C1235" s="37" t="s">
        <v>2833</v>
      </c>
      <c r="D1235" s="37" t="s">
        <v>2834</v>
      </c>
      <c r="E1235" s="354" t="s">
        <v>2835</v>
      </c>
      <c r="F1235" s="355">
        <v>610590</v>
      </c>
      <c r="G1235" s="355" t="s">
        <v>2142</v>
      </c>
      <c r="H1235" s="26" t="s">
        <v>29</v>
      </c>
      <c r="I1235" s="26" t="s">
        <v>3061</v>
      </c>
    </row>
    <row r="1236" spans="1:9" ht="82.5">
      <c r="A1236" s="238">
        <v>1234</v>
      </c>
      <c r="B1236" s="28" t="s">
        <v>2823</v>
      </c>
      <c r="C1236" s="37" t="s">
        <v>2836</v>
      </c>
      <c r="D1236" s="37" t="s">
        <v>2837</v>
      </c>
      <c r="E1236" s="354" t="s">
        <v>2838</v>
      </c>
      <c r="F1236" s="355">
        <v>131040</v>
      </c>
      <c r="G1236" s="355" t="s">
        <v>2142</v>
      </c>
      <c r="H1236" s="26" t="s">
        <v>47</v>
      </c>
      <c r="I1236" s="26" t="s">
        <v>3061</v>
      </c>
    </row>
    <row r="1237" spans="1:9" ht="82.5">
      <c r="A1237" s="238">
        <v>1235</v>
      </c>
      <c r="B1237" s="28" t="s">
        <v>2823</v>
      </c>
      <c r="C1237" s="37" t="s">
        <v>2839</v>
      </c>
      <c r="D1237" s="37" t="s">
        <v>2840</v>
      </c>
      <c r="E1237" s="354" t="s">
        <v>2270</v>
      </c>
      <c r="F1237" s="355">
        <v>135291</v>
      </c>
      <c r="G1237" s="355" t="s">
        <v>2142</v>
      </c>
      <c r="H1237" s="26" t="s">
        <v>49</v>
      </c>
      <c r="I1237" s="26" t="s">
        <v>3061</v>
      </c>
    </row>
    <row r="1238" spans="1:9" ht="82.5">
      <c r="A1238" s="238">
        <v>1236</v>
      </c>
      <c r="B1238" s="28" t="s">
        <v>2841</v>
      </c>
      <c r="C1238" s="37" t="s">
        <v>2842</v>
      </c>
      <c r="D1238" s="37" t="s">
        <v>2843</v>
      </c>
      <c r="E1238" s="354" t="s">
        <v>2280</v>
      </c>
      <c r="F1238" s="355">
        <v>23400</v>
      </c>
      <c r="G1238" s="355" t="s">
        <v>2142</v>
      </c>
      <c r="H1238" s="26" t="s">
        <v>47</v>
      </c>
      <c r="I1238" s="26" t="s">
        <v>3061</v>
      </c>
    </row>
    <row r="1239" spans="1:9" ht="99">
      <c r="A1239" s="238">
        <v>1237</v>
      </c>
      <c r="B1239" s="28" t="s">
        <v>2844</v>
      </c>
      <c r="C1239" s="37" t="s">
        <v>2504</v>
      </c>
      <c r="D1239" s="37" t="s">
        <v>2845</v>
      </c>
      <c r="E1239" s="354" t="s">
        <v>2846</v>
      </c>
      <c r="F1239" s="355">
        <v>131441</v>
      </c>
      <c r="G1239" s="355" t="s">
        <v>2142</v>
      </c>
      <c r="H1239" s="26" t="s">
        <v>47</v>
      </c>
      <c r="I1239" s="26" t="s">
        <v>3061</v>
      </c>
    </row>
    <row r="1240" spans="1:9" ht="99">
      <c r="A1240" s="238">
        <v>1238</v>
      </c>
      <c r="B1240" s="28" t="s">
        <v>2847</v>
      </c>
      <c r="C1240" s="37" t="s">
        <v>2848</v>
      </c>
      <c r="D1240" s="37" t="s">
        <v>2849</v>
      </c>
      <c r="E1240" s="354" t="s">
        <v>1224</v>
      </c>
      <c r="F1240" s="355">
        <v>745112</v>
      </c>
      <c r="G1240" s="355" t="s">
        <v>2142</v>
      </c>
      <c r="H1240" s="26" t="s">
        <v>29</v>
      </c>
      <c r="I1240" s="26" t="s">
        <v>3061</v>
      </c>
    </row>
    <row r="1241" spans="1:9" ht="82.5">
      <c r="A1241" s="238">
        <v>1239</v>
      </c>
      <c r="B1241" s="28" t="s">
        <v>2847</v>
      </c>
      <c r="C1241" s="37" t="s">
        <v>2524</v>
      </c>
      <c r="D1241" s="37" t="s">
        <v>2850</v>
      </c>
      <c r="E1241" s="354" t="s">
        <v>2345</v>
      </c>
      <c r="F1241" s="355">
        <v>83504</v>
      </c>
      <c r="G1241" s="355" t="s">
        <v>2142</v>
      </c>
      <c r="H1241" s="26" t="s">
        <v>29</v>
      </c>
      <c r="I1241" s="26" t="s">
        <v>3061</v>
      </c>
    </row>
    <row r="1242" spans="1:9" ht="99">
      <c r="A1242" s="238">
        <v>1240</v>
      </c>
      <c r="B1242" s="28" t="s">
        <v>2851</v>
      </c>
      <c r="C1242" s="37" t="s">
        <v>2828</v>
      </c>
      <c r="D1242" s="37" t="s">
        <v>2852</v>
      </c>
      <c r="E1242" s="354" t="s">
        <v>1224</v>
      </c>
      <c r="F1242" s="355">
        <v>105485</v>
      </c>
      <c r="G1242" s="355" t="s">
        <v>2142</v>
      </c>
      <c r="H1242" s="26" t="s">
        <v>29</v>
      </c>
      <c r="I1242" s="26" t="s">
        <v>3061</v>
      </c>
    </row>
    <row r="1243" spans="1:9" ht="148.5">
      <c r="A1243" s="238">
        <v>1241</v>
      </c>
      <c r="B1243" s="28" t="s">
        <v>2853</v>
      </c>
      <c r="C1243" s="37" t="s">
        <v>2854</v>
      </c>
      <c r="D1243" s="37" t="s">
        <v>2855</v>
      </c>
      <c r="E1243" s="354" t="s">
        <v>2414</v>
      </c>
      <c r="F1243" s="355">
        <v>3118386</v>
      </c>
      <c r="G1243" s="355" t="s">
        <v>2142</v>
      </c>
      <c r="H1243" s="26" t="s">
        <v>29</v>
      </c>
      <c r="I1243" s="26" t="s">
        <v>3061</v>
      </c>
    </row>
    <row r="1244" spans="1:9" ht="132">
      <c r="A1244" s="238">
        <v>1242</v>
      </c>
      <c r="B1244" s="28" t="s">
        <v>2853</v>
      </c>
      <c r="C1244" s="37" t="s">
        <v>2856</v>
      </c>
      <c r="D1244" s="37" t="s">
        <v>2857</v>
      </c>
      <c r="E1244" s="354" t="s">
        <v>2557</v>
      </c>
      <c r="F1244" s="355">
        <v>1526863</v>
      </c>
      <c r="G1244" s="355" t="s">
        <v>2142</v>
      </c>
      <c r="H1244" s="26" t="s">
        <v>29</v>
      </c>
      <c r="I1244" s="26" t="s">
        <v>3061</v>
      </c>
    </row>
    <row r="1245" spans="1:9" ht="198">
      <c r="A1245" s="238">
        <v>1243</v>
      </c>
      <c r="B1245" s="28" t="s">
        <v>2853</v>
      </c>
      <c r="C1245" s="37" t="s">
        <v>2379</v>
      </c>
      <c r="D1245" s="37" t="s">
        <v>2858</v>
      </c>
      <c r="E1245" s="354" t="s">
        <v>2859</v>
      </c>
      <c r="F1245" s="361">
        <v>7361773</v>
      </c>
      <c r="G1245" s="355" t="s">
        <v>2142</v>
      </c>
      <c r="H1245" s="26" t="s">
        <v>29</v>
      </c>
      <c r="I1245" s="26" t="s">
        <v>3061</v>
      </c>
    </row>
    <row r="1246" spans="1:9" ht="115.5">
      <c r="A1246" s="238">
        <v>1244</v>
      </c>
      <c r="B1246" s="28" t="s">
        <v>2860</v>
      </c>
      <c r="C1246" s="37" t="s">
        <v>2545</v>
      </c>
      <c r="D1246" s="37" t="s">
        <v>2861</v>
      </c>
      <c r="E1246" s="354" t="s">
        <v>2862</v>
      </c>
      <c r="F1246" s="355">
        <v>2194748</v>
      </c>
      <c r="G1246" s="355" t="s">
        <v>2142</v>
      </c>
      <c r="H1246" s="26" t="s">
        <v>29</v>
      </c>
      <c r="I1246" s="26" t="s">
        <v>3061</v>
      </c>
    </row>
    <row r="1247" spans="1:9" ht="99">
      <c r="A1247" s="238">
        <v>1245</v>
      </c>
      <c r="B1247" s="28" t="s">
        <v>2860</v>
      </c>
      <c r="C1247" s="37" t="s">
        <v>2212</v>
      </c>
      <c r="D1247" s="37" t="s">
        <v>2863</v>
      </c>
      <c r="E1247" s="354" t="s">
        <v>2864</v>
      </c>
      <c r="F1247" s="355">
        <v>1008000</v>
      </c>
      <c r="G1247" s="355" t="s">
        <v>2142</v>
      </c>
      <c r="H1247" s="26" t="s">
        <v>47</v>
      </c>
      <c r="I1247" s="26" t="s">
        <v>3061</v>
      </c>
    </row>
    <row r="1248" spans="1:9" ht="99">
      <c r="A1248" s="238">
        <v>1246</v>
      </c>
      <c r="B1248" s="28" t="s">
        <v>2860</v>
      </c>
      <c r="C1248" s="37" t="s">
        <v>2563</v>
      </c>
      <c r="D1248" s="37" t="s">
        <v>2865</v>
      </c>
      <c r="E1248" s="354" t="s">
        <v>2866</v>
      </c>
      <c r="F1248" s="355">
        <v>562010</v>
      </c>
      <c r="G1248" s="355" t="s">
        <v>2142</v>
      </c>
      <c r="H1248" s="26" t="s">
        <v>1105</v>
      </c>
      <c r="I1248" s="26" t="s">
        <v>3061</v>
      </c>
    </row>
    <row r="1249" spans="1:9" ht="132">
      <c r="A1249" s="238">
        <v>1247</v>
      </c>
      <c r="B1249" s="28" t="s">
        <v>2860</v>
      </c>
      <c r="C1249" s="37" t="s">
        <v>2867</v>
      </c>
      <c r="D1249" s="37" t="s">
        <v>2868</v>
      </c>
      <c r="E1249" s="354" t="s">
        <v>2869</v>
      </c>
      <c r="F1249" s="355">
        <v>3589680</v>
      </c>
      <c r="G1249" s="355" t="s">
        <v>2142</v>
      </c>
      <c r="H1249" s="26" t="s">
        <v>29</v>
      </c>
      <c r="I1249" s="26" t="s">
        <v>3061</v>
      </c>
    </row>
    <row r="1250" spans="1:9" ht="66">
      <c r="A1250" s="238">
        <v>1248</v>
      </c>
      <c r="B1250" s="28" t="s">
        <v>2860</v>
      </c>
      <c r="C1250" s="37" t="s">
        <v>2172</v>
      </c>
      <c r="D1250" s="37" t="s">
        <v>2870</v>
      </c>
      <c r="E1250" s="360" t="s">
        <v>2871</v>
      </c>
      <c r="F1250" s="361">
        <v>184765</v>
      </c>
      <c r="G1250" s="355" t="s">
        <v>2142</v>
      </c>
      <c r="H1250" s="26" t="s">
        <v>52</v>
      </c>
      <c r="I1250" s="26" t="s">
        <v>3061</v>
      </c>
    </row>
    <row r="1251" spans="1:9" ht="82.5">
      <c r="A1251" s="238">
        <v>1249</v>
      </c>
      <c r="B1251" s="28" t="s">
        <v>2860</v>
      </c>
      <c r="C1251" s="37" t="s">
        <v>2304</v>
      </c>
      <c r="D1251" s="37" t="s">
        <v>2872</v>
      </c>
      <c r="E1251" s="354" t="s">
        <v>2873</v>
      </c>
      <c r="F1251" s="355">
        <v>112440</v>
      </c>
      <c r="G1251" s="355" t="s">
        <v>2142</v>
      </c>
      <c r="H1251" s="26" t="s">
        <v>44</v>
      </c>
      <c r="I1251" s="26" t="s">
        <v>3061</v>
      </c>
    </row>
    <row r="1252" spans="1:9" ht="66">
      <c r="A1252" s="238">
        <v>1250</v>
      </c>
      <c r="B1252" s="28" t="s">
        <v>2860</v>
      </c>
      <c r="C1252" s="37" t="s">
        <v>2874</v>
      </c>
      <c r="D1252" s="37" t="s">
        <v>2875</v>
      </c>
      <c r="E1252" s="354" t="s">
        <v>2280</v>
      </c>
      <c r="F1252" s="355">
        <v>108000</v>
      </c>
      <c r="G1252" s="355" t="s">
        <v>2142</v>
      </c>
      <c r="H1252" s="26" t="s">
        <v>47</v>
      </c>
      <c r="I1252" s="26" t="s">
        <v>3061</v>
      </c>
    </row>
    <row r="1253" spans="1:9" ht="66">
      <c r="A1253" s="238">
        <v>1251</v>
      </c>
      <c r="B1253" s="28" t="s">
        <v>2860</v>
      </c>
      <c r="C1253" s="37" t="s">
        <v>2876</v>
      </c>
      <c r="D1253" s="37" t="s">
        <v>2877</v>
      </c>
      <c r="E1253" s="354" t="s">
        <v>2878</v>
      </c>
      <c r="F1253" s="355">
        <v>1249130</v>
      </c>
      <c r="G1253" s="355" t="s">
        <v>2142</v>
      </c>
      <c r="H1253" s="26" t="s">
        <v>29</v>
      </c>
      <c r="I1253" s="26" t="s">
        <v>3061</v>
      </c>
    </row>
    <row r="1254" spans="1:9" ht="82.5">
      <c r="A1254" s="238">
        <v>1252</v>
      </c>
      <c r="B1254" s="28" t="s">
        <v>2860</v>
      </c>
      <c r="C1254" s="37" t="s">
        <v>2879</v>
      </c>
      <c r="D1254" s="37" t="s">
        <v>2880</v>
      </c>
      <c r="E1254" s="354" t="s">
        <v>2515</v>
      </c>
      <c r="F1254" s="355">
        <v>2084741</v>
      </c>
      <c r="G1254" s="355" t="s">
        <v>2142</v>
      </c>
      <c r="H1254" s="26" t="s">
        <v>29</v>
      </c>
      <c r="I1254" s="26" t="s">
        <v>3061</v>
      </c>
    </row>
    <row r="1255" spans="1:9" ht="99">
      <c r="A1255" s="238">
        <v>1253</v>
      </c>
      <c r="B1255" s="28" t="s">
        <v>2881</v>
      </c>
      <c r="C1255" s="37" t="s">
        <v>2291</v>
      </c>
      <c r="D1255" s="37" t="s">
        <v>2882</v>
      </c>
      <c r="E1255" s="354" t="s">
        <v>2883</v>
      </c>
      <c r="F1255" s="355">
        <v>159409</v>
      </c>
      <c r="G1255" s="355" t="s">
        <v>2142</v>
      </c>
      <c r="H1255" s="356" t="s">
        <v>12</v>
      </c>
      <c r="I1255" s="26" t="s">
        <v>3061</v>
      </c>
    </row>
    <row r="1256" spans="1:9" ht="99">
      <c r="A1256" s="238">
        <v>1254</v>
      </c>
      <c r="B1256" s="28" t="s">
        <v>2884</v>
      </c>
      <c r="C1256" s="37" t="s">
        <v>2885</v>
      </c>
      <c r="D1256" s="37" t="s">
        <v>2886</v>
      </c>
      <c r="E1256" s="354" t="s">
        <v>2231</v>
      </c>
      <c r="F1256" s="355">
        <v>357283</v>
      </c>
      <c r="G1256" s="355" t="s">
        <v>2142</v>
      </c>
      <c r="H1256" s="26" t="s">
        <v>29</v>
      </c>
      <c r="I1256" s="26" t="s">
        <v>3061</v>
      </c>
    </row>
    <row r="1257" spans="1:9" ht="115.5">
      <c r="A1257" s="238">
        <v>1255</v>
      </c>
      <c r="B1257" s="28" t="s">
        <v>2884</v>
      </c>
      <c r="C1257" s="37" t="s">
        <v>2291</v>
      </c>
      <c r="D1257" s="37" t="s">
        <v>2887</v>
      </c>
      <c r="E1257" s="354" t="s">
        <v>2293</v>
      </c>
      <c r="F1257" s="355">
        <v>821989</v>
      </c>
      <c r="G1257" s="355" t="s">
        <v>2142</v>
      </c>
      <c r="H1257" s="26" t="s">
        <v>29</v>
      </c>
      <c r="I1257" s="26" t="s">
        <v>3061</v>
      </c>
    </row>
    <row r="1258" spans="1:9" ht="82.5">
      <c r="A1258" s="238">
        <v>1256</v>
      </c>
      <c r="B1258" s="28" t="s">
        <v>2884</v>
      </c>
      <c r="C1258" s="37" t="s">
        <v>2888</v>
      </c>
      <c r="D1258" s="37" t="s">
        <v>2889</v>
      </c>
      <c r="E1258" s="354" t="s">
        <v>2890</v>
      </c>
      <c r="F1258" s="355">
        <v>160052</v>
      </c>
      <c r="G1258" s="355" t="s">
        <v>2142</v>
      </c>
      <c r="H1258" s="26" t="s">
        <v>29</v>
      </c>
      <c r="I1258" s="26" t="s">
        <v>3061</v>
      </c>
    </row>
    <row r="1259" spans="1:9" ht="82.5">
      <c r="A1259" s="238">
        <v>1257</v>
      </c>
      <c r="B1259" s="28" t="s">
        <v>2884</v>
      </c>
      <c r="C1259" s="37" t="s">
        <v>2891</v>
      </c>
      <c r="D1259" s="37" t="s">
        <v>2892</v>
      </c>
      <c r="E1259" s="354" t="s">
        <v>1224</v>
      </c>
      <c r="F1259" s="355">
        <v>11917053</v>
      </c>
      <c r="G1259" s="355" t="s">
        <v>2142</v>
      </c>
      <c r="H1259" s="26" t="s">
        <v>29</v>
      </c>
      <c r="I1259" s="26" t="s">
        <v>3061</v>
      </c>
    </row>
    <row r="1260" spans="1:9" ht="82.5">
      <c r="A1260" s="238">
        <v>1258</v>
      </c>
      <c r="B1260" s="28" t="s">
        <v>2893</v>
      </c>
      <c r="C1260" s="37" t="s">
        <v>2284</v>
      </c>
      <c r="D1260" s="37" t="s">
        <v>2894</v>
      </c>
      <c r="E1260" s="354" t="s">
        <v>2345</v>
      </c>
      <c r="F1260" s="355">
        <v>989099</v>
      </c>
      <c r="G1260" s="355" t="s">
        <v>2142</v>
      </c>
      <c r="H1260" s="26" t="s">
        <v>29</v>
      </c>
      <c r="I1260" s="26" t="s">
        <v>3061</v>
      </c>
    </row>
    <row r="1261" spans="1:9" ht="148.5">
      <c r="A1261" s="238">
        <v>1259</v>
      </c>
      <c r="B1261" s="28" t="s">
        <v>2895</v>
      </c>
      <c r="C1261" s="37" t="s">
        <v>2195</v>
      </c>
      <c r="D1261" s="37" t="s">
        <v>2896</v>
      </c>
      <c r="E1261" s="354" t="s">
        <v>2897</v>
      </c>
      <c r="F1261" s="355">
        <v>2049619</v>
      </c>
      <c r="G1261" s="355" t="s">
        <v>2142</v>
      </c>
      <c r="H1261" s="26" t="s">
        <v>29</v>
      </c>
      <c r="I1261" s="26" t="s">
        <v>3061</v>
      </c>
    </row>
    <row r="1262" spans="1:9" ht="99">
      <c r="A1262" s="238">
        <v>1260</v>
      </c>
      <c r="B1262" s="28" t="s">
        <v>2898</v>
      </c>
      <c r="C1262" s="37" t="s">
        <v>2899</v>
      </c>
      <c r="D1262" s="37" t="s">
        <v>2900</v>
      </c>
      <c r="E1262" s="354" t="s">
        <v>2901</v>
      </c>
      <c r="F1262" s="355">
        <v>1674932</v>
      </c>
      <c r="G1262" s="355" t="s">
        <v>2142</v>
      </c>
      <c r="H1262" s="26" t="s">
        <v>29</v>
      </c>
      <c r="I1262" s="26" t="s">
        <v>3061</v>
      </c>
    </row>
    <row r="1263" spans="1:9" ht="66">
      <c r="A1263" s="238">
        <v>1261</v>
      </c>
      <c r="B1263" s="28" t="s">
        <v>2898</v>
      </c>
      <c r="C1263" s="37" t="s">
        <v>2172</v>
      </c>
      <c r="D1263" s="37" t="s">
        <v>2902</v>
      </c>
      <c r="E1263" s="360" t="s">
        <v>2903</v>
      </c>
      <c r="F1263" s="361">
        <v>213134567</v>
      </c>
      <c r="G1263" s="355" t="s">
        <v>2142</v>
      </c>
      <c r="H1263" s="26" t="s">
        <v>29</v>
      </c>
      <c r="I1263" s="26" t="s">
        <v>3061</v>
      </c>
    </row>
    <row r="1264" spans="1:9" ht="165">
      <c r="A1264" s="238">
        <v>1262</v>
      </c>
      <c r="B1264" s="28" t="s">
        <v>240</v>
      </c>
      <c r="C1264" s="37" t="s">
        <v>2904</v>
      </c>
      <c r="D1264" s="37" t="s">
        <v>2905</v>
      </c>
      <c r="E1264" s="354" t="s">
        <v>2818</v>
      </c>
      <c r="F1264" s="355">
        <v>1486937</v>
      </c>
      <c r="G1264" s="355" t="s">
        <v>2142</v>
      </c>
      <c r="H1264" s="26" t="s">
        <v>29</v>
      </c>
      <c r="I1264" s="26" t="s">
        <v>3061</v>
      </c>
    </row>
    <row r="1265" spans="1:9" ht="132">
      <c r="A1265" s="238">
        <v>1263</v>
      </c>
      <c r="B1265" s="28" t="s">
        <v>240</v>
      </c>
      <c r="C1265" s="37" t="s">
        <v>2580</v>
      </c>
      <c r="D1265" s="37" t="s">
        <v>2906</v>
      </c>
      <c r="E1265" s="354" t="s">
        <v>2907</v>
      </c>
      <c r="F1265" s="355">
        <v>2826188</v>
      </c>
      <c r="G1265" s="355" t="s">
        <v>2142</v>
      </c>
      <c r="H1265" s="26" t="s">
        <v>29</v>
      </c>
      <c r="I1265" s="26" t="s">
        <v>3061</v>
      </c>
    </row>
    <row r="1266" spans="1:9" ht="148.5">
      <c r="A1266" s="238">
        <v>1264</v>
      </c>
      <c r="B1266" s="28" t="s">
        <v>240</v>
      </c>
      <c r="C1266" s="37" t="s">
        <v>2192</v>
      </c>
      <c r="D1266" s="37" t="s">
        <v>2908</v>
      </c>
      <c r="E1266" s="354" t="s">
        <v>2909</v>
      </c>
      <c r="F1266" s="355">
        <v>633367</v>
      </c>
      <c r="G1266" s="355" t="s">
        <v>2142</v>
      </c>
      <c r="H1266" s="26" t="s">
        <v>29</v>
      </c>
      <c r="I1266" s="26" t="s">
        <v>3061</v>
      </c>
    </row>
    <row r="1267" spans="1:9" ht="132">
      <c r="A1267" s="238">
        <v>1265</v>
      </c>
      <c r="B1267" s="28" t="s">
        <v>240</v>
      </c>
      <c r="C1267" s="37" t="s">
        <v>2234</v>
      </c>
      <c r="D1267" s="37" t="s">
        <v>2910</v>
      </c>
      <c r="E1267" s="354" t="s">
        <v>2911</v>
      </c>
      <c r="F1267" s="355">
        <v>2617682</v>
      </c>
      <c r="G1267" s="355" t="s">
        <v>2142</v>
      </c>
      <c r="H1267" s="26" t="s">
        <v>29</v>
      </c>
      <c r="I1267" s="26" t="s">
        <v>3061</v>
      </c>
    </row>
    <row r="1268" spans="1:9" ht="66">
      <c r="A1268" s="238">
        <v>1266</v>
      </c>
      <c r="B1268" s="28" t="s">
        <v>240</v>
      </c>
      <c r="C1268" s="37" t="s">
        <v>2172</v>
      </c>
      <c r="D1268" s="37" t="s">
        <v>2912</v>
      </c>
      <c r="E1268" s="360" t="s">
        <v>2913</v>
      </c>
      <c r="F1268" s="361">
        <v>2665167</v>
      </c>
      <c r="G1268" s="355" t="s">
        <v>2142</v>
      </c>
      <c r="H1268" s="26" t="s">
        <v>29</v>
      </c>
      <c r="I1268" s="26" t="s">
        <v>3061</v>
      </c>
    </row>
    <row r="1269" spans="1:9" ht="99">
      <c r="A1269" s="238">
        <v>1267</v>
      </c>
      <c r="B1269" s="28" t="s">
        <v>2914</v>
      </c>
      <c r="C1269" s="37" t="s">
        <v>2915</v>
      </c>
      <c r="D1269" s="37" t="s">
        <v>2916</v>
      </c>
      <c r="E1269" s="354" t="s">
        <v>2162</v>
      </c>
      <c r="F1269" s="355">
        <v>751716</v>
      </c>
      <c r="G1269" s="355" t="s">
        <v>2142</v>
      </c>
      <c r="H1269" s="356" t="s">
        <v>12</v>
      </c>
      <c r="I1269" s="26" t="s">
        <v>3061</v>
      </c>
    </row>
    <row r="1270" spans="1:9" ht="66">
      <c r="A1270" s="238">
        <v>1268</v>
      </c>
      <c r="B1270" s="28" t="s">
        <v>2914</v>
      </c>
      <c r="C1270" s="37" t="s">
        <v>2175</v>
      </c>
      <c r="D1270" s="37" t="s">
        <v>2917</v>
      </c>
      <c r="E1270" s="354" t="s">
        <v>2323</v>
      </c>
      <c r="F1270" s="355">
        <v>305000</v>
      </c>
      <c r="G1270" s="355" t="s">
        <v>2142</v>
      </c>
      <c r="H1270" s="26" t="s">
        <v>77</v>
      </c>
      <c r="I1270" s="26" t="s">
        <v>3061</v>
      </c>
    </row>
    <row r="1271" spans="1:9" ht="99">
      <c r="A1271" s="238">
        <v>1269</v>
      </c>
      <c r="B1271" s="28" t="s">
        <v>2918</v>
      </c>
      <c r="C1271" s="37" t="s">
        <v>2610</v>
      </c>
      <c r="D1271" s="37" t="s">
        <v>2919</v>
      </c>
      <c r="E1271" s="354" t="s">
        <v>2323</v>
      </c>
      <c r="F1271" s="355">
        <v>621304.36</v>
      </c>
      <c r="G1271" s="355" t="s">
        <v>2142</v>
      </c>
      <c r="H1271" s="26" t="s">
        <v>77</v>
      </c>
      <c r="I1271" s="26" t="s">
        <v>3061</v>
      </c>
    </row>
    <row r="1272" spans="1:9" ht="115.5">
      <c r="A1272" s="238">
        <v>1270</v>
      </c>
      <c r="B1272" s="28" t="s">
        <v>2920</v>
      </c>
      <c r="C1272" s="357" t="s">
        <v>2921</v>
      </c>
      <c r="D1272" s="357" t="s">
        <v>2922</v>
      </c>
      <c r="E1272" s="367" t="s">
        <v>2923</v>
      </c>
      <c r="F1272" s="359">
        <v>200441.31</v>
      </c>
      <c r="G1272" s="355" t="s">
        <v>2142</v>
      </c>
      <c r="H1272" s="26" t="s">
        <v>77</v>
      </c>
      <c r="I1272" s="26" t="s">
        <v>3061</v>
      </c>
    </row>
    <row r="1273" spans="1:9" ht="82.5">
      <c r="A1273" s="238">
        <v>1271</v>
      </c>
      <c r="B1273" s="28" t="s">
        <v>2920</v>
      </c>
      <c r="C1273" s="26" t="s">
        <v>2924</v>
      </c>
      <c r="D1273" s="26" t="s">
        <v>2925</v>
      </c>
      <c r="E1273" s="364" t="s">
        <v>2926</v>
      </c>
      <c r="F1273" s="365">
        <v>137029.66</v>
      </c>
      <c r="G1273" s="355" t="s">
        <v>2142</v>
      </c>
      <c r="H1273" s="26" t="s">
        <v>2166</v>
      </c>
      <c r="I1273" s="26" t="s">
        <v>3061</v>
      </c>
    </row>
    <row r="1274" spans="1:9" ht="115.5">
      <c r="A1274" s="238">
        <v>1272</v>
      </c>
      <c r="B1274" s="28" t="s">
        <v>2927</v>
      </c>
      <c r="C1274" s="37" t="s">
        <v>2458</v>
      </c>
      <c r="D1274" s="37" t="s">
        <v>2459</v>
      </c>
      <c r="E1274" s="360" t="s">
        <v>2462</v>
      </c>
      <c r="F1274" s="361">
        <v>311868417</v>
      </c>
      <c r="G1274" s="355" t="s">
        <v>2142</v>
      </c>
      <c r="H1274" s="356" t="s">
        <v>12</v>
      </c>
      <c r="I1274" s="26" t="s">
        <v>3061</v>
      </c>
    </row>
    <row r="1275" spans="1:9" ht="115.5">
      <c r="A1275" s="238">
        <v>1273</v>
      </c>
      <c r="B1275" s="28" t="s">
        <v>2928</v>
      </c>
      <c r="C1275" s="37" t="s">
        <v>2458</v>
      </c>
      <c r="D1275" s="37" t="s">
        <v>2459</v>
      </c>
      <c r="E1275" s="360" t="s">
        <v>2462</v>
      </c>
      <c r="F1275" s="361">
        <v>319947355</v>
      </c>
      <c r="G1275" s="355" t="s">
        <v>2142</v>
      </c>
      <c r="H1275" s="356" t="s">
        <v>12</v>
      </c>
      <c r="I1275" s="26" t="s">
        <v>3061</v>
      </c>
    </row>
    <row r="1276" spans="1:9" ht="99">
      <c r="A1276" s="238">
        <v>1274</v>
      </c>
      <c r="B1276" s="28" t="s">
        <v>2929</v>
      </c>
      <c r="C1276" s="37" t="s">
        <v>2930</v>
      </c>
      <c r="D1276" s="37" t="s">
        <v>2931</v>
      </c>
      <c r="E1276" s="354" t="s">
        <v>2932</v>
      </c>
      <c r="F1276" s="355">
        <v>84747</v>
      </c>
      <c r="G1276" s="355" t="s">
        <v>2142</v>
      </c>
      <c r="H1276" s="356" t="s">
        <v>12</v>
      </c>
      <c r="I1276" s="26" t="s">
        <v>3061</v>
      </c>
    </row>
    <row r="1277" spans="1:9" ht="99">
      <c r="A1277" s="238">
        <v>1275</v>
      </c>
      <c r="B1277" s="28" t="s">
        <v>2929</v>
      </c>
      <c r="C1277" s="37" t="s">
        <v>2167</v>
      </c>
      <c r="D1277" s="37" t="s">
        <v>2933</v>
      </c>
      <c r="E1277" s="354" t="s">
        <v>2932</v>
      </c>
      <c r="F1277" s="355">
        <v>201904</v>
      </c>
      <c r="G1277" s="355" t="s">
        <v>2142</v>
      </c>
      <c r="H1277" s="356" t="s">
        <v>12</v>
      </c>
      <c r="I1277" s="26" t="s">
        <v>3061</v>
      </c>
    </row>
    <row r="1278" spans="1:9" ht="99">
      <c r="A1278" s="238">
        <v>1276</v>
      </c>
      <c r="B1278" s="28" t="s">
        <v>2929</v>
      </c>
      <c r="C1278" s="37" t="s">
        <v>2610</v>
      </c>
      <c r="D1278" s="37" t="s">
        <v>2934</v>
      </c>
      <c r="E1278" s="354" t="s">
        <v>2935</v>
      </c>
      <c r="F1278" s="355">
        <v>74425.5</v>
      </c>
      <c r="G1278" s="355" t="s">
        <v>2142</v>
      </c>
      <c r="H1278" s="356" t="s">
        <v>12</v>
      </c>
      <c r="I1278" s="26" t="s">
        <v>3061</v>
      </c>
    </row>
    <row r="1279" spans="1:9" ht="99">
      <c r="A1279" s="238">
        <v>1277</v>
      </c>
      <c r="B1279" s="28" t="s">
        <v>2929</v>
      </c>
      <c r="C1279" s="37" t="s">
        <v>2672</v>
      </c>
      <c r="D1279" s="37" t="s">
        <v>2936</v>
      </c>
      <c r="E1279" s="354" t="s">
        <v>2935</v>
      </c>
      <c r="F1279" s="355">
        <v>146326.82999999999</v>
      </c>
      <c r="G1279" s="355" t="s">
        <v>2142</v>
      </c>
      <c r="H1279" s="356" t="s">
        <v>12</v>
      </c>
      <c r="I1279" s="26" t="s">
        <v>3061</v>
      </c>
    </row>
    <row r="1280" spans="1:9" ht="82.5">
      <c r="A1280" s="238">
        <v>1278</v>
      </c>
      <c r="B1280" s="28" t="s">
        <v>2937</v>
      </c>
      <c r="C1280" s="37" t="s">
        <v>2268</v>
      </c>
      <c r="D1280" s="37" t="s">
        <v>2938</v>
      </c>
      <c r="E1280" s="354" t="s">
        <v>2939</v>
      </c>
      <c r="F1280" s="355">
        <v>90897</v>
      </c>
      <c r="G1280" s="355" t="s">
        <v>2142</v>
      </c>
      <c r="H1280" s="356" t="s">
        <v>12</v>
      </c>
      <c r="I1280" s="26" t="s">
        <v>3061</v>
      </c>
    </row>
    <row r="1281" spans="1:9" ht="82.5">
      <c r="A1281" s="238">
        <v>1279</v>
      </c>
      <c r="B1281" s="28" t="s">
        <v>2940</v>
      </c>
      <c r="C1281" s="368" t="s">
        <v>2941</v>
      </c>
      <c r="D1281" s="369" t="s">
        <v>2942</v>
      </c>
      <c r="E1281" s="370" t="s">
        <v>2943</v>
      </c>
      <c r="F1281" s="366">
        <v>3638184</v>
      </c>
      <c r="G1281" s="355" t="s">
        <v>2142</v>
      </c>
      <c r="H1281" s="356" t="s">
        <v>12</v>
      </c>
      <c r="I1281" s="26" t="s">
        <v>3061</v>
      </c>
    </row>
    <row r="1282" spans="1:9" ht="82.5">
      <c r="A1282" s="238">
        <v>1280</v>
      </c>
      <c r="B1282" s="28" t="s">
        <v>2944</v>
      </c>
      <c r="C1282" s="37" t="s">
        <v>2945</v>
      </c>
      <c r="D1282" s="37" t="s">
        <v>2946</v>
      </c>
      <c r="E1282" s="354" t="s">
        <v>2939</v>
      </c>
      <c r="F1282" s="355">
        <v>98456</v>
      </c>
      <c r="G1282" s="355" t="s">
        <v>2142</v>
      </c>
      <c r="H1282" s="356" t="s">
        <v>12</v>
      </c>
      <c r="I1282" s="26" t="s">
        <v>3061</v>
      </c>
    </row>
    <row r="1283" spans="1:9" ht="82.5">
      <c r="A1283" s="238">
        <v>1281</v>
      </c>
      <c r="B1283" s="28" t="s">
        <v>2947</v>
      </c>
      <c r="C1283" s="26" t="s">
        <v>2948</v>
      </c>
      <c r="D1283" s="26" t="s">
        <v>2949</v>
      </c>
      <c r="E1283" s="363" t="s">
        <v>2950</v>
      </c>
      <c r="F1283" s="7">
        <v>339279</v>
      </c>
      <c r="G1283" s="355" t="s">
        <v>2142</v>
      </c>
      <c r="H1283" s="26" t="s">
        <v>47</v>
      </c>
      <c r="I1283" s="26" t="s">
        <v>3061</v>
      </c>
    </row>
    <row r="1284" spans="1:9" ht="99">
      <c r="A1284" s="238">
        <v>1282</v>
      </c>
      <c r="B1284" s="28" t="s">
        <v>2951</v>
      </c>
      <c r="C1284" s="37" t="s">
        <v>2561</v>
      </c>
      <c r="D1284" s="37" t="s">
        <v>2952</v>
      </c>
      <c r="E1284" s="354" t="s">
        <v>2315</v>
      </c>
      <c r="F1284" s="355">
        <v>2629581</v>
      </c>
      <c r="G1284" s="355" t="s">
        <v>2142</v>
      </c>
      <c r="H1284" s="26" t="s">
        <v>87</v>
      </c>
      <c r="I1284" s="26" t="s">
        <v>3061</v>
      </c>
    </row>
    <row r="1285" spans="1:9" ht="115.5">
      <c r="A1285" s="238">
        <v>1283</v>
      </c>
      <c r="B1285" s="28" t="s">
        <v>2953</v>
      </c>
      <c r="C1285" s="37" t="s">
        <v>2272</v>
      </c>
      <c r="D1285" s="37" t="s">
        <v>2954</v>
      </c>
      <c r="E1285" s="362" t="s">
        <v>2955</v>
      </c>
      <c r="F1285" s="355">
        <v>7013656</v>
      </c>
      <c r="G1285" s="355" t="s">
        <v>2142</v>
      </c>
      <c r="H1285" s="26" t="s">
        <v>29</v>
      </c>
      <c r="I1285" s="26" t="s">
        <v>3061</v>
      </c>
    </row>
    <row r="1286" spans="1:9" ht="148.5">
      <c r="A1286" s="238">
        <v>1284</v>
      </c>
      <c r="B1286" s="28" t="s">
        <v>2951</v>
      </c>
      <c r="C1286" s="37" t="s">
        <v>2956</v>
      </c>
      <c r="D1286" s="37" t="s">
        <v>2957</v>
      </c>
      <c r="E1286" s="354" t="s">
        <v>2958</v>
      </c>
      <c r="F1286" s="355">
        <v>3116214</v>
      </c>
      <c r="G1286" s="355" t="s">
        <v>2142</v>
      </c>
      <c r="H1286" s="26" t="s">
        <v>29</v>
      </c>
      <c r="I1286" s="26" t="s">
        <v>3061</v>
      </c>
    </row>
    <row r="1287" spans="1:9" ht="66">
      <c r="A1287" s="238">
        <v>1285</v>
      </c>
      <c r="B1287" s="28" t="s">
        <v>2959</v>
      </c>
      <c r="C1287" s="37" t="s">
        <v>2915</v>
      </c>
      <c r="D1287" s="37" t="s">
        <v>2960</v>
      </c>
      <c r="E1287" s="354" t="s">
        <v>2306</v>
      </c>
      <c r="F1287" s="355">
        <v>18391374</v>
      </c>
      <c r="G1287" s="355" t="s">
        <v>2142</v>
      </c>
      <c r="H1287" s="356" t="s">
        <v>12</v>
      </c>
      <c r="I1287" s="26" t="s">
        <v>3061</v>
      </c>
    </row>
    <row r="1288" spans="1:9" ht="99">
      <c r="A1288" s="238">
        <v>1286</v>
      </c>
      <c r="B1288" s="28" t="s">
        <v>2961</v>
      </c>
      <c r="C1288" s="26" t="s">
        <v>2962</v>
      </c>
      <c r="D1288" s="26" t="s">
        <v>2963</v>
      </c>
      <c r="E1288" s="29" t="s">
        <v>2964</v>
      </c>
      <c r="F1288" s="365">
        <v>57271</v>
      </c>
      <c r="G1288" s="355" t="s">
        <v>2142</v>
      </c>
      <c r="H1288" s="26" t="s">
        <v>2166</v>
      </c>
      <c r="I1288" s="26" t="s">
        <v>3061</v>
      </c>
    </row>
    <row r="1289" spans="1:9" ht="99">
      <c r="A1289" s="238">
        <v>1287</v>
      </c>
      <c r="B1289" s="28" t="s">
        <v>2965</v>
      </c>
      <c r="C1289" s="37" t="s">
        <v>2966</v>
      </c>
      <c r="D1289" s="37" t="s">
        <v>2967</v>
      </c>
      <c r="E1289" s="354" t="s">
        <v>2968</v>
      </c>
      <c r="F1289" s="355">
        <v>189060</v>
      </c>
      <c r="G1289" s="355" t="s">
        <v>2142</v>
      </c>
      <c r="H1289" s="26" t="s">
        <v>29</v>
      </c>
      <c r="I1289" s="26" t="s">
        <v>3061</v>
      </c>
    </row>
    <row r="1290" spans="1:9" ht="99">
      <c r="A1290" s="238">
        <v>1288</v>
      </c>
      <c r="B1290" s="371" t="s">
        <v>2965</v>
      </c>
      <c r="C1290" s="37" t="s">
        <v>2885</v>
      </c>
      <c r="D1290" s="37" t="s">
        <v>2969</v>
      </c>
      <c r="E1290" s="354" t="s">
        <v>1224</v>
      </c>
      <c r="F1290" s="355">
        <v>2690723</v>
      </c>
      <c r="G1290" s="355" t="s">
        <v>2142</v>
      </c>
      <c r="H1290" s="26" t="s">
        <v>29</v>
      </c>
      <c r="I1290" s="26" t="s">
        <v>3061</v>
      </c>
    </row>
    <row r="1291" spans="1:9" ht="132">
      <c r="A1291" s="238">
        <v>1289</v>
      </c>
      <c r="B1291" s="28" t="s">
        <v>2965</v>
      </c>
      <c r="C1291" s="37" t="s">
        <v>2195</v>
      </c>
      <c r="D1291" s="37" t="s">
        <v>2970</v>
      </c>
      <c r="E1291" s="354" t="s">
        <v>2971</v>
      </c>
      <c r="F1291" s="355">
        <v>608949</v>
      </c>
      <c r="G1291" s="355" t="s">
        <v>2142</v>
      </c>
      <c r="H1291" s="26" t="s">
        <v>29</v>
      </c>
      <c r="I1291" s="26" t="s">
        <v>3061</v>
      </c>
    </row>
    <row r="1292" spans="1:9" ht="132">
      <c r="A1292" s="238">
        <v>1290</v>
      </c>
      <c r="B1292" s="28" t="s">
        <v>2965</v>
      </c>
      <c r="C1292" s="37" t="s">
        <v>2195</v>
      </c>
      <c r="D1292" s="37" t="s">
        <v>2972</v>
      </c>
      <c r="E1292" s="354" t="s">
        <v>2256</v>
      </c>
      <c r="F1292" s="355">
        <v>9264014</v>
      </c>
      <c r="G1292" s="355" t="s">
        <v>2142</v>
      </c>
      <c r="H1292" s="26" t="s">
        <v>87</v>
      </c>
      <c r="I1292" s="26" t="s">
        <v>3061</v>
      </c>
    </row>
    <row r="1293" spans="1:9" ht="148.5">
      <c r="A1293" s="238">
        <v>1291</v>
      </c>
      <c r="B1293" s="28" t="s">
        <v>2965</v>
      </c>
      <c r="C1293" s="37" t="s">
        <v>2195</v>
      </c>
      <c r="D1293" s="37" t="s">
        <v>2973</v>
      </c>
      <c r="E1293" s="354" t="s">
        <v>2974</v>
      </c>
      <c r="F1293" s="355">
        <v>1317797</v>
      </c>
      <c r="G1293" s="355" t="s">
        <v>2142</v>
      </c>
      <c r="H1293" s="26" t="s">
        <v>29</v>
      </c>
      <c r="I1293" s="26" t="s">
        <v>3061</v>
      </c>
    </row>
    <row r="1294" spans="1:9" ht="165">
      <c r="A1294" s="238">
        <v>1292</v>
      </c>
      <c r="B1294" s="28" t="s">
        <v>2965</v>
      </c>
      <c r="C1294" s="37" t="s">
        <v>2234</v>
      </c>
      <c r="D1294" s="37" t="s">
        <v>2975</v>
      </c>
      <c r="E1294" s="354" t="s">
        <v>2976</v>
      </c>
      <c r="F1294" s="355">
        <v>1924082</v>
      </c>
      <c r="G1294" s="355" t="s">
        <v>2142</v>
      </c>
      <c r="H1294" s="26" t="s">
        <v>29</v>
      </c>
      <c r="I1294" s="26" t="s">
        <v>3061</v>
      </c>
    </row>
    <row r="1295" spans="1:9" ht="132">
      <c r="A1295" s="238">
        <v>1293</v>
      </c>
      <c r="B1295" s="28" t="s">
        <v>2965</v>
      </c>
      <c r="C1295" s="37" t="s">
        <v>2234</v>
      </c>
      <c r="D1295" s="37" t="s">
        <v>2977</v>
      </c>
      <c r="E1295" s="354" t="s">
        <v>2978</v>
      </c>
      <c r="F1295" s="355">
        <v>799093</v>
      </c>
      <c r="G1295" s="355" t="s">
        <v>2142</v>
      </c>
      <c r="H1295" s="26" t="s">
        <v>29</v>
      </c>
      <c r="I1295" s="26" t="s">
        <v>3061</v>
      </c>
    </row>
    <row r="1296" spans="1:9" ht="99">
      <c r="A1296" s="238">
        <v>1294</v>
      </c>
      <c r="B1296" s="28" t="s">
        <v>2965</v>
      </c>
      <c r="C1296" s="37" t="s">
        <v>2979</v>
      </c>
      <c r="D1296" s="37" t="s">
        <v>2980</v>
      </c>
      <c r="E1296" s="354" t="s">
        <v>2323</v>
      </c>
      <c r="F1296" s="355">
        <v>91400</v>
      </c>
      <c r="G1296" s="355" t="s">
        <v>2142</v>
      </c>
      <c r="H1296" s="26" t="s">
        <v>77</v>
      </c>
      <c r="I1296" s="26" t="s">
        <v>3061</v>
      </c>
    </row>
    <row r="1297" spans="1:9" ht="99">
      <c r="A1297" s="238">
        <v>1295</v>
      </c>
      <c r="B1297" s="28" t="s">
        <v>2961</v>
      </c>
      <c r="C1297" s="37" t="s">
        <v>2981</v>
      </c>
      <c r="D1297" s="37" t="s">
        <v>2982</v>
      </c>
      <c r="E1297" s="354" t="s">
        <v>2222</v>
      </c>
      <c r="F1297" s="355">
        <v>346111</v>
      </c>
      <c r="G1297" s="355" t="s">
        <v>2142</v>
      </c>
      <c r="H1297" s="26" t="s">
        <v>29</v>
      </c>
      <c r="I1297" s="26" t="s">
        <v>3061</v>
      </c>
    </row>
    <row r="1298" spans="1:9" ht="115.5">
      <c r="A1298" s="238">
        <v>1296</v>
      </c>
      <c r="B1298" s="28" t="s">
        <v>2961</v>
      </c>
      <c r="C1298" s="37" t="s">
        <v>2333</v>
      </c>
      <c r="D1298" s="37" t="s">
        <v>2983</v>
      </c>
      <c r="E1298" s="354" t="s">
        <v>2254</v>
      </c>
      <c r="F1298" s="355">
        <v>837903</v>
      </c>
      <c r="G1298" s="355" t="s">
        <v>2142</v>
      </c>
      <c r="H1298" s="26" t="s">
        <v>29</v>
      </c>
      <c r="I1298" s="26" t="s">
        <v>3061</v>
      </c>
    </row>
    <row r="1299" spans="1:9" ht="82.5">
      <c r="A1299" s="238">
        <v>1297</v>
      </c>
      <c r="B1299" s="28" t="s">
        <v>2961</v>
      </c>
      <c r="C1299" s="37" t="s">
        <v>2984</v>
      </c>
      <c r="D1299" s="37" t="s">
        <v>2985</v>
      </c>
      <c r="E1299" s="354" t="s">
        <v>2986</v>
      </c>
      <c r="F1299" s="355">
        <v>33936</v>
      </c>
      <c r="G1299" s="355" t="s">
        <v>2142</v>
      </c>
      <c r="H1299" s="26" t="s">
        <v>52</v>
      </c>
      <c r="I1299" s="26" t="s">
        <v>3061</v>
      </c>
    </row>
    <row r="1300" spans="1:9" ht="99">
      <c r="A1300" s="238">
        <v>1298</v>
      </c>
      <c r="B1300" s="28" t="s">
        <v>2961</v>
      </c>
      <c r="C1300" s="37" t="s">
        <v>2987</v>
      </c>
      <c r="D1300" s="37" t="s">
        <v>2988</v>
      </c>
      <c r="E1300" s="354" t="s">
        <v>2989</v>
      </c>
      <c r="F1300" s="355">
        <v>410100</v>
      </c>
      <c r="G1300" s="355" t="s">
        <v>2142</v>
      </c>
      <c r="H1300" s="26" t="s">
        <v>47</v>
      </c>
      <c r="I1300" s="26" t="s">
        <v>3061</v>
      </c>
    </row>
    <row r="1301" spans="1:9" ht="99">
      <c r="A1301" s="238">
        <v>1299</v>
      </c>
      <c r="B1301" s="28" t="s">
        <v>2961</v>
      </c>
      <c r="C1301" s="37" t="s">
        <v>2577</v>
      </c>
      <c r="D1301" s="37" t="s">
        <v>2990</v>
      </c>
      <c r="E1301" s="354" t="s">
        <v>2991</v>
      </c>
      <c r="F1301" s="355">
        <v>3408201</v>
      </c>
      <c r="G1301" s="355" t="s">
        <v>2142</v>
      </c>
      <c r="H1301" s="26" t="s">
        <v>87</v>
      </c>
      <c r="I1301" s="26" t="s">
        <v>3061</v>
      </c>
    </row>
    <row r="1302" spans="1:9" ht="132">
      <c r="A1302" s="238">
        <v>1300</v>
      </c>
      <c r="B1302" s="28" t="s">
        <v>2961</v>
      </c>
      <c r="C1302" s="37" t="s">
        <v>2992</v>
      </c>
      <c r="D1302" s="37" t="s">
        <v>2993</v>
      </c>
      <c r="E1302" s="354" t="s">
        <v>2363</v>
      </c>
      <c r="F1302" s="355">
        <v>973368</v>
      </c>
      <c r="G1302" s="355" t="s">
        <v>2142</v>
      </c>
      <c r="H1302" s="26" t="s">
        <v>29</v>
      </c>
      <c r="I1302" s="26" t="s">
        <v>3061</v>
      </c>
    </row>
    <row r="1303" spans="1:9" ht="148.5">
      <c r="A1303" s="238">
        <v>1301</v>
      </c>
      <c r="B1303" s="28" t="s">
        <v>2961</v>
      </c>
      <c r="C1303" s="37" t="s">
        <v>2816</v>
      </c>
      <c r="D1303" s="37" t="s">
        <v>2994</v>
      </c>
      <c r="E1303" s="354" t="s">
        <v>2958</v>
      </c>
      <c r="F1303" s="355">
        <v>840799</v>
      </c>
      <c r="G1303" s="355" t="s">
        <v>2142</v>
      </c>
      <c r="H1303" s="26" t="s">
        <v>29</v>
      </c>
      <c r="I1303" s="26" t="s">
        <v>3061</v>
      </c>
    </row>
    <row r="1304" spans="1:9" ht="82.5">
      <c r="A1304" s="238">
        <v>1302</v>
      </c>
      <c r="B1304" s="28" t="s">
        <v>2961</v>
      </c>
      <c r="C1304" s="37" t="s">
        <v>2321</v>
      </c>
      <c r="D1304" s="37" t="s">
        <v>2995</v>
      </c>
      <c r="E1304" s="354" t="s">
        <v>2323</v>
      </c>
      <c r="F1304" s="355">
        <v>162640</v>
      </c>
      <c r="G1304" s="355" t="s">
        <v>2142</v>
      </c>
      <c r="H1304" s="26" t="s">
        <v>77</v>
      </c>
      <c r="I1304" s="26" t="s">
        <v>3061</v>
      </c>
    </row>
    <row r="1305" spans="1:9" ht="82.5">
      <c r="A1305" s="238">
        <v>1303</v>
      </c>
      <c r="B1305" s="28" t="s">
        <v>2961</v>
      </c>
      <c r="C1305" s="37" t="s">
        <v>2996</v>
      </c>
      <c r="D1305" s="37" t="s">
        <v>2997</v>
      </c>
      <c r="E1305" s="354" t="s">
        <v>2353</v>
      </c>
      <c r="F1305" s="355">
        <v>1201531</v>
      </c>
      <c r="G1305" s="355" t="s">
        <v>2142</v>
      </c>
      <c r="H1305" s="26" t="s">
        <v>87</v>
      </c>
      <c r="I1305" s="26" t="s">
        <v>3061</v>
      </c>
    </row>
    <row r="1306" spans="1:9" ht="115.5">
      <c r="A1306" s="238">
        <v>1304</v>
      </c>
      <c r="B1306" s="28" t="s">
        <v>2998</v>
      </c>
      <c r="C1306" s="26" t="s">
        <v>2999</v>
      </c>
      <c r="D1306" s="26" t="s">
        <v>3000</v>
      </c>
      <c r="E1306" s="363" t="s">
        <v>3001</v>
      </c>
      <c r="F1306" s="7">
        <v>10814000</v>
      </c>
      <c r="G1306" s="355" t="s">
        <v>2142</v>
      </c>
      <c r="H1306" s="26" t="s">
        <v>47</v>
      </c>
      <c r="I1306" s="26" t="s">
        <v>3061</v>
      </c>
    </row>
    <row r="1307" spans="1:9" ht="99">
      <c r="A1307" s="238">
        <v>1305</v>
      </c>
      <c r="B1307" s="28" t="s">
        <v>2998</v>
      </c>
      <c r="C1307" s="26" t="s">
        <v>3002</v>
      </c>
      <c r="D1307" s="26" t="s">
        <v>3003</v>
      </c>
      <c r="E1307" s="363" t="s">
        <v>3004</v>
      </c>
      <c r="F1307" s="7">
        <v>55554752</v>
      </c>
      <c r="G1307" s="355" t="s">
        <v>2142</v>
      </c>
      <c r="H1307" s="26" t="s">
        <v>47</v>
      </c>
      <c r="I1307" s="26" t="s">
        <v>3061</v>
      </c>
    </row>
    <row r="1308" spans="1:9" ht="82.5">
      <c r="A1308" s="238">
        <v>1306</v>
      </c>
      <c r="B1308" s="28" t="s">
        <v>3005</v>
      </c>
      <c r="C1308" s="37" t="s">
        <v>2504</v>
      </c>
      <c r="D1308" s="37" t="s">
        <v>3006</v>
      </c>
      <c r="E1308" s="354" t="s">
        <v>2345</v>
      </c>
      <c r="F1308" s="355">
        <v>75793</v>
      </c>
      <c r="G1308" s="355" t="s">
        <v>2142</v>
      </c>
      <c r="H1308" s="26" t="s">
        <v>29</v>
      </c>
      <c r="I1308" s="26" t="s">
        <v>3061</v>
      </c>
    </row>
    <row r="1309" spans="1:9" ht="99">
      <c r="A1309" s="238">
        <v>1307</v>
      </c>
      <c r="B1309" s="28" t="s">
        <v>2953</v>
      </c>
      <c r="C1309" s="37" t="s">
        <v>2272</v>
      </c>
      <c r="D1309" s="37" t="s">
        <v>3007</v>
      </c>
      <c r="E1309" s="354" t="s">
        <v>2315</v>
      </c>
      <c r="F1309" s="355">
        <v>673515</v>
      </c>
      <c r="G1309" s="355" t="s">
        <v>2142</v>
      </c>
      <c r="H1309" s="26" t="s">
        <v>87</v>
      </c>
      <c r="I1309" s="26" t="s">
        <v>3061</v>
      </c>
    </row>
    <row r="1310" spans="1:9" ht="82.5">
      <c r="A1310" s="238">
        <v>1308</v>
      </c>
      <c r="B1310" s="28" t="s">
        <v>2953</v>
      </c>
      <c r="C1310" s="37" t="s">
        <v>3008</v>
      </c>
      <c r="D1310" s="37" t="s">
        <v>3009</v>
      </c>
      <c r="E1310" s="354" t="s">
        <v>2878</v>
      </c>
      <c r="F1310" s="355">
        <v>116801</v>
      </c>
      <c r="G1310" s="355" t="s">
        <v>2142</v>
      </c>
      <c r="H1310" s="26" t="s">
        <v>29</v>
      </c>
      <c r="I1310" s="26" t="s">
        <v>3061</v>
      </c>
    </row>
    <row r="1311" spans="1:9" ht="82.5">
      <c r="A1311" s="238">
        <v>1309</v>
      </c>
      <c r="B1311" s="28" t="s">
        <v>1361</v>
      </c>
      <c r="C1311" s="368" t="s">
        <v>2941</v>
      </c>
      <c r="D1311" s="369" t="s">
        <v>3010</v>
      </c>
      <c r="E1311" s="370" t="s">
        <v>3011</v>
      </c>
      <c r="F1311" s="366">
        <v>4313830</v>
      </c>
      <c r="G1311" s="355" t="s">
        <v>2142</v>
      </c>
      <c r="H1311" s="26" t="s">
        <v>87</v>
      </c>
      <c r="I1311" s="26" t="s">
        <v>3061</v>
      </c>
    </row>
    <row r="1312" spans="1:9" ht="99">
      <c r="A1312" s="238">
        <v>1310</v>
      </c>
      <c r="B1312" s="28" t="s">
        <v>3012</v>
      </c>
      <c r="C1312" s="37" t="s">
        <v>3013</v>
      </c>
      <c r="D1312" s="37" t="s">
        <v>3014</v>
      </c>
      <c r="E1312" s="354" t="s">
        <v>1224</v>
      </c>
      <c r="F1312" s="355">
        <v>336234</v>
      </c>
      <c r="G1312" s="355" t="s">
        <v>2142</v>
      </c>
      <c r="H1312" s="26" t="s">
        <v>29</v>
      </c>
      <c r="I1312" s="26" t="s">
        <v>3061</v>
      </c>
    </row>
    <row r="1313" spans="1:9" ht="115.5">
      <c r="A1313" s="238">
        <v>1311</v>
      </c>
      <c r="B1313" s="28" t="s">
        <v>3015</v>
      </c>
      <c r="C1313" s="37" t="s">
        <v>3016</v>
      </c>
      <c r="D1313" s="37" t="s">
        <v>3017</v>
      </c>
      <c r="E1313" s="354" t="s">
        <v>2222</v>
      </c>
      <c r="F1313" s="355">
        <v>544302</v>
      </c>
      <c r="G1313" s="355" t="s">
        <v>2142</v>
      </c>
      <c r="H1313" s="26" t="s">
        <v>29</v>
      </c>
      <c r="I1313" s="26" t="s">
        <v>3061</v>
      </c>
    </row>
    <row r="1314" spans="1:9" ht="99">
      <c r="A1314" s="238">
        <v>1312</v>
      </c>
      <c r="B1314" s="28" t="s">
        <v>3015</v>
      </c>
      <c r="C1314" s="37" t="s">
        <v>2229</v>
      </c>
      <c r="D1314" s="37" t="s">
        <v>3018</v>
      </c>
      <c r="E1314" s="354" t="s">
        <v>3019</v>
      </c>
      <c r="F1314" s="355">
        <v>145141</v>
      </c>
      <c r="G1314" s="355" t="s">
        <v>2142</v>
      </c>
      <c r="H1314" s="26" t="s">
        <v>29</v>
      </c>
      <c r="I1314" s="26" t="s">
        <v>3061</v>
      </c>
    </row>
    <row r="1315" spans="1:9" ht="99">
      <c r="A1315" s="238">
        <v>1313</v>
      </c>
      <c r="B1315" s="28" t="s">
        <v>3015</v>
      </c>
      <c r="C1315" s="37" t="s">
        <v>2545</v>
      </c>
      <c r="D1315" s="37" t="s">
        <v>3020</v>
      </c>
      <c r="E1315" s="354" t="s">
        <v>3021</v>
      </c>
      <c r="F1315" s="355">
        <v>18329606</v>
      </c>
      <c r="G1315" s="355" t="s">
        <v>2142</v>
      </c>
      <c r="H1315" s="26" t="s">
        <v>87</v>
      </c>
      <c r="I1315" s="26" t="s">
        <v>3061</v>
      </c>
    </row>
    <row r="1316" spans="1:9" ht="99">
      <c r="A1316" s="238">
        <v>1314</v>
      </c>
      <c r="B1316" s="28" t="s">
        <v>3015</v>
      </c>
      <c r="C1316" s="37" t="s">
        <v>2561</v>
      </c>
      <c r="D1316" s="37" t="s">
        <v>3022</v>
      </c>
      <c r="E1316" s="354" t="s">
        <v>2315</v>
      </c>
      <c r="F1316" s="355">
        <v>11553592</v>
      </c>
      <c r="G1316" s="355" t="s">
        <v>2142</v>
      </c>
      <c r="H1316" s="26" t="s">
        <v>87</v>
      </c>
      <c r="I1316" s="26" t="s">
        <v>3061</v>
      </c>
    </row>
    <row r="1317" spans="1:9" ht="148.5">
      <c r="A1317" s="238">
        <v>1315</v>
      </c>
      <c r="B1317" s="28" t="s">
        <v>3015</v>
      </c>
      <c r="C1317" s="37" t="s">
        <v>2272</v>
      </c>
      <c r="D1317" s="37" t="s">
        <v>3023</v>
      </c>
      <c r="E1317" s="354" t="s">
        <v>2363</v>
      </c>
      <c r="F1317" s="355">
        <v>667982</v>
      </c>
      <c r="G1317" s="355" t="s">
        <v>2142</v>
      </c>
      <c r="H1317" s="26" t="s">
        <v>29</v>
      </c>
      <c r="I1317" s="26" t="s">
        <v>3061</v>
      </c>
    </row>
    <row r="1318" spans="1:9" ht="148.5">
      <c r="A1318" s="238">
        <v>1316</v>
      </c>
      <c r="B1318" s="28" t="s">
        <v>3015</v>
      </c>
      <c r="C1318" s="37" t="s">
        <v>2816</v>
      </c>
      <c r="D1318" s="37" t="s">
        <v>3024</v>
      </c>
      <c r="E1318" s="354" t="s">
        <v>3025</v>
      </c>
      <c r="F1318" s="355">
        <v>1193389</v>
      </c>
      <c r="G1318" s="355" t="s">
        <v>2142</v>
      </c>
      <c r="H1318" s="26" t="s">
        <v>29</v>
      </c>
      <c r="I1318" s="26" t="s">
        <v>3061</v>
      </c>
    </row>
    <row r="1319" spans="1:9" ht="132">
      <c r="A1319" s="238">
        <v>1317</v>
      </c>
      <c r="B1319" s="28" t="s">
        <v>3015</v>
      </c>
      <c r="C1319" s="37" t="s">
        <v>2195</v>
      </c>
      <c r="D1319" s="37" t="s">
        <v>3026</v>
      </c>
      <c r="E1319" s="354" t="s">
        <v>3027</v>
      </c>
      <c r="F1319" s="355">
        <v>1984976</v>
      </c>
      <c r="G1319" s="355" t="s">
        <v>2142</v>
      </c>
      <c r="H1319" s="26" t="s">
        <v>29</v>
      </c>
      <c r="I1319" s="26" t="s">
        <v>3061</v>
      </c>
    </row>
    <row r="1320" spans="1:9" ht="82.5">
      <c r="A1320" s="238">
        <v>1318</v>
      </c>
      <c r="B1320" s="28" t="s">
        <v>3015</v>
      </c>
      <c r="C1320" s="37" t="s">
        <v>3028</v>
      </c>
      <c r="D1320" s="37" t="s">
        <v>3029</v>
      </c>
      <c r="E1320" s="354" t="s">
        <v>3030</v>
      </c>
      <c r="F1320" s="355">
        <v>30272</v>
      </c>
      <c r="G1320" s="355" t="s">
        <v>2142</v>
      </c>
      <c r="H1320" s="26" t="s">
        <v>47</v>
      </c>
      <c r="I1320" s="26" t="s">
        <v>3061</v>
      </c>
    </row>
    <row r="1321" spans="1:9" ht="82.5">
      <c r="A1321" s="238">
        <v>1319</v>
      </c>
      <c r="B1321" s="28" t="s">
        <v>3015</v>
      </c>
      <c r="C1321" s="37" t="s">
        <v>3031</v>
      </c>
      <c r="D1321" s="37" t="s">
        <v>3032</v>
      </c>
      <c r="E1321" s="354" t="s">
        <v>3033</v>
      </c>
      <c r="F1321" s="355">
        <v>30893.68</v>
      </c>
      <c r="G1321" s="355" t="s">
        <v>2142</v>
      </c>
      <c r="H1321" s="356" t="s">
        <v>12</v>
      </c>
      <c r="I1321" s="26" t="s">
        <v>3061</v>
      </c>
    </row>
    <row r="1322" spans="1:9" ht="82.5">
      <c r="A1322" s="238">
        <v>1320</v>
      </c>
      <c r="B1322" s="28" t="s">
        <v>3015</v>
      </c>
      <c r="C1322" s="37" t="s">
        <v>3034</v>
      </c>
      <c r="D1322" s="37" t="s">
        <v>3035</v>
      </c>
      <c r="E1322" s="354" t="s">
        <v>2184</v>
      </c>
      <c r="F1322" s="355">
        <v>2911148</v>
      </c>
      <c r="G1322" s="355" t="s">
        <v>2142</v>
      </c>
      <c r="H1322" s="26" t="s">
        <v>29</v>
      </c>
      <c r="I1322" s="26" t="s">
        <v>3061</v>
      </c>
    </row>
    <row r="1323" spans="1:9" ht="99">
      <c r="A1323" s="238">
        <v>1321</v>
      </c>
      <c r="B1323" s="28" t="s">
        <v>1356</v>
      </c>
      <c r="C1323" s="37" t="s">
        <v>2252</v>
      </c>
      <c r="D1323" s="37" t="s">
        <v>3036</v>
      </c>
      <c r="E1323" s="354" t="s">
        <v>2254</v>
      </c>
      <c r="F1323" s="355">
        <v>61720145.090000004</v>
      </c>
      <c r="G1323" s="355" t="s">
        <v>2142</v>
      </c>
      <c r="H1323" s="26" t="s">
        <v>29</v>
      </c>
      <c r="I1323" s="26" t="s">
        <v>3061</v>
      </c>
    </row>
    <row r="1324" spans="1:9" ht="99">
      <c r="A1324" s="238">
        <v>1322</v>
      </c>
      <c r="B1324" s="28" t="s">
        <v>1356</v>
      </c>
      <c r="C1324" s="37" t="s">
        <v>2223</v>
      </c>
      <c r="D1324" s="37" t="s">
        <v>3037</v>
      </c>
      <c r="E1324" s="360" t="s">
        <v>2171</v>
      </c>
      <c r="F1324" s="355">
        <v>43902</v>
      </c>
      <c r="G1324" s="355" t="s">
        <v>2142</v>
      </c>
      <c r="H1324" s="26" t="s">
        <v>1105</v>
      </c>
      <c r="I1324" s="26" t="s">
        <v>3061</v>
      </c>
    </row>
    <row r="1325" spans="1:9" ht="99">
      <c r="A1325" s="238">
        <v>1323</v>
      </c>
      <c r="B1325" s="28" t="s">
        <v>1356</v>
      </c>
      <c r="C1325" s="37" t="s">
        <v>2561</v>
      </c>
      <c r="D1325" s="37" t="s">
        <v>3038</v>
      </c>
      <c r="E1325" s="354" t="s">
        <v>2315</v>
      </c>
      <c r="F1325" s="355">
        <v>11126946</v>
      </c>
      <c r="G1325" s="355" t="s">
        <v>2142</v>
      </c>
      <c r="H1325" s="26" t="s">
        <v>87</v>
      </c>
      <c r="I1325" s="26" t="s">
        <v>3061</v>
      </c>
    </row>
    <row r="1326" spans="1:9" ht="132">
      <c r="A1326" s="238">
        <v>1324</v>
      </c>
      <c r="B1326" s="28" t="s">
        <v>1356</v>
      </c>
      <c r="C1326" s="37" t="s">
        <v>2626</v>
      </c>
      <c r="D1326" s="37" t="s">
        <v>3039</v>
      </c>
      <c r="E1326" s="354" t="s">
        <v>2414</v>
      </c>
      <c r="F1326" s="355">
        <v>2120396</v>
      </c>
      <c r="G1326" s="355" t="s">
        <v>2142</v>
      </c>
      <c r="H1326" s="26" t="s">
        <v>29</v>
      </c>
      <c r="I1326" s="26" t="s">
        <v>3061</v>
      </c>
    </row>
    <row r="1327" spans="1:9" ht="132">
      <c r="A1327" s="238">
        <v>1325</v>
      </c>
      <c r="B1327" s="28" t="s">
        <v>1356</v>
      </c>
      <c r="C1327" s="37" t="s">
        <v>2195</v>
      </c>
      <c r="D1327" s="37" t="s">
        <v>3040</v>
      </c>
      <c r="E1327" s="354" t="s">
        <v>3041</v>
      </c>
      <c r="F1327" s="355">
        <v>1124266</v>
      </c>
      <c r="G1327" s="355" t="s">
        <v>2142</v>
      </c>
      <c r="H1327" s="26" t="s">
        <v>29</v>
      </c>
      <c r="I1327" s="26" t="s">
        <v>3061</v>
      </c>
    </row>
    <row r="1328" spans="1:9" ht="165">
      <c r="A1328" s="238">
        <v>1326</v>
      </c>
      <c r="B1328" s="28" t="s">
        <v>1356</v>
      </c>
      <c r="C1328" s="37" t="s">
        <v>2195</v>
      </c>
      <c r="D1328" s="37" t="s">
        <v>3042</v>
      </c>
      <c r="E1328" s="354" t="s">
        <v>3043</v>
      </c>
      <c r="F1328" s="355">
        <v>529810</v>
      </c>
      <c r="G1328" s="355" t="s">
        <v>2142</v>
      </c>
      <c r="H1328" s="26" t="s">
        <v>29</v>
      </c>
      <c r="I1328" s="26" t="s">
        <v>3061</v>
      </c>
    </row>
    <row r="1329" spans="1:9" ht="132">
      <c r="A1329" s="238">
        <v>1327</v>
      </c>
      <c r="B1329" s="28" t="s">
        <v>1356</v>
      </c>
      <c r="C1329" s="37" t="s">
        <v>2234</v>
      </c>
      <c r="D1329" s="37" t="s">
        <v>3044</v>
      </c>
      <c r="E1329" s="354" t="s">
        <v>2238</v>
      </c>
      <c r="F1329" s="355">
        <v>1260000</v>
      </c>
      <c r="G1329" s="355" t="s">
        <v>2142</v>
      </c>
      <c r="H1329" s="26" t="s">
        <v>77</v>
      </c>
      <c r="I1329" s="26" t="s">
        <v>3061</v>
      </c>
    </row>
    <row r="1330" spans="1:9" ht="82.5">
      <c r="A1330" s="238">
        <v>1328</v>
      </c>
      <c r="B1330" s="28" t="s">
        <v>1356</v>
      </c>
      <c r="C1330" s="37" t="s">
        <v>2499</v>
      </c>
      <c r="D1330" s="37" t="s">
        <v>3045</v>
      </c>
      <c r="E1330" s="354" t="s">
        <v>2345</v>
      </c>
      <c r="F1330" s="355">
        <v>2131933</v>
      </c>
      <c r="G1330" s="355" t="s">
        <v>2142</v>
      </c>
      <c r="H1330" s="26" t="s">
        <v>29</v>
      </c>
      <c r="I1330" s="26" t="s">
        <v>3061</v>
      </c>
    </row>
    <row r="1331" spans="1:9" ht="99">
      <c r="A1331" s="238">
        <v>1329</v>
      </c>
      <c r="B1331" s="28" t="s">
        <v>1357</v>
      </c>
      <c r="C1331" s="37" t="s">
        <v>2508</v>
      </c>
      <c r="D1331" s="37" t="s">
        <v>3046</v>
      </c>
      <c r="E1331" s="354" t="s">
        <v>2231</v>
      </c>
      <c r="F1331" s="355">
        <v>1568776</v>
      </c>
      <c r="G1331" s="355" t="s">
        <v>2142</v>
      </c>
      <c r="H1331" s="26" t="s">
        <v>29</v>
      </c>
      <c r="I1331" s="26" t="s">
        <v>3061</v>
      </c>
    </row>
    <row r="1332" spans="1:9" ht="99">
      <c r="A1332" s="238">
        <v>1330</v>
      </c>
      <c r="B1332" s="28" t="s">
        <v>1357</v>
      </c>
      <c r="C1332" s="37" t="s">
        <v>3047</v>
      </c>
      <c r="D1332" s="37" t="s">
        <v>3048</v>
      </c>
      <c r="E1332" s="354" t="s">
        <v>2315</v>
      </c>
      <c r="F1332" s="355">
        <v>3399831</v>
      </c>
      <c r="G1332" s="355" t="s">
        <v>2142</v>
      </c>
      <c r="H1332" s="26" t="s">
        <v>87</v>
      </c>
      <c r="I1332" s="26" t="s">
        <v>3061</v>
      </c>
    </row>
    <row r="1333" spans="1:9" ht="132">
      <c r="A1333" s="238">
        <v>1331</v>
      </c>
      <c r="B1333" s="28" t="s">
        <v>1357</v>
      </c>
      <c r="C1333" s="37" t="s">
        <v>2816</v>
      </c>
      <c r="D1333" s="37" t="s">
        <v>3049</v>
      </c>
      <c r="E1333" s="354" t="s">
        <v>2958</v>
      </c>
      <c r="F1333" s="355">
        <v>412889</v>
      </c>
      <c r="G1333" s="355" t="s">
        <v>2142</v>
      </c>
      <c r="H1333" s="26" t="s">
        <v>29</v>
      </c>
      <c r="I1333" s="26" t="s">
        <v>3061</v>
      </c>
    </row>
    <row r="1334" spans="1:9" ht="165">
      <c r="A1334" s="238">
        <v>1332</v>
      </c>
      <c r="B1334" s="28" t="s">
        <v>1357</v>
      </c>
      <c r="C1334" s="37" t="s">
        <v>2195</v>
      </c>
      <c r="D1334" s="37" t="s">
        <v>3050</v>
      </c>
      <c r="E1334" s="362" t="s">
        <v>3051</v>
      </c>
      <c r="F1334" s="355">
        <v>1436285</v>
      </c>
      <c r="G1334" s="355" t="s">
        <v>2142</v>
      </c>
      <c r="H1334" s="26" t="s">
        <v>29</v>
      </c>
      <c r="I1334" s="26" t="s">
        <v>3061</v>
      </c>
    </row>
    <row r="1335" spans="1:9" ht="82.5">
      <c r="A1335" s="238">
        <v>1333</v>
      </c>
      <c r="B1335" s="28" t="s">
        <v>1357</v>
      </c>
      <c r="C1335" s="368" t="s">
        <v>2941</v>
      </c>
      <c r="D1335" s="369" t="s">
        <v>3052</v>
      </c>
      <c r="E1335" s="370" t="s">
        <v>3011</v>
      </c>
      <c r="F1335" s="366">
        <v>25448734</v>
      </c>
      <c r="G1335" s="355" t="s">
        <v>2142</v>
      </c>
      <c r="H1335" s="26" t="s">
        <v>87</v>
      </c>
      <c r="I1335" s="26" t="s">
        <v>3061</v>
      </c>
    </row>
    <row r="1336" spans="1:9" ht="132">
      <c r="A1336" s="238">
        <v>1334</v>
      </c>
      <c r="B1336" s="29" t="s">
        <v>1359</v>
      </c>
      <c r="C1336" s="37" t="s">
        <v>2216</v>
      </c>
      <c r="D1336" s="37" t="s">
        <v>3053</v>
      </c>
      <c r="E1336" s="354" t="s">
        <v>3054</v>
      </c>
      <c r="F1336" s="355">
        <v>42132601</v>
      </c>
      <c r="G1336" s="355" t="s">
        <v>2142</v>
      </c>
      <c r="H1336" s="26" t="s">
        <v>87</v>
      </c>
      <c r="I1336" s="26" t="s">
        <v>3061</v>
      </c>
    </row>
    <row r="1337" spans="1:9" ht="165">
      <c r="A1337" s="238">
        <v>1335</v>
      </c>
      <c r="B1337" s="29" t="s">
        <v>1359</v>
      </c>
      <c r="C1337" s="37" t="s">
        <v>2234</v>
      </c>
      <c r="D1337" s="37" t="s">
        <v>3055</v>
      </c>
      <c r="E1337" s="354" t="s">
        <v>2206</v>
      </c>
      <c r="F1337" s="355">
        <v>75960</v>
      </c>
      <c r="G1337" s="355" t="s">
        <v>2142</v>
      </c>
      <c r="H1337" s="26" t="s">
        <v>52</v>
      </c>
      <c r="I1337" s="26" t="s">
        <v>3061</v>
      </c>
    </row>
    <row r="1338" spans="1:9" ht="82.5">
      <c r="A1338" s="238">
        <v>1336</v>
      </c>
      <c r="B1338" s="29" t="s">
        <v>1359</v>
      </c>
      <c r="C1338" s="368" t="s">
        <v>2941</v>
      </c>
      <c r="D1338" s="369" t="s">
        <v>3056</v>
      </c>
      <c r="E1338" s="370" t="s">
        <v>3011</v>
      </c>
      <c r="F1338" s="366">
        <v>55470660</v>
      </c>
      <c r="G1338" s="355" t="s">
        <v>2142</v>
      </c>
      <c r="H1338" s="26" t="s">
        <v>87</v>
      </c>
      <c r="I1338" s="26" t="s">
        <v>3061</v>
      </c>
    </row>
    <row r="1339" spans="1:9" ht="82.5">
      <c r="A1339" s="238">
        <v>1337</v>
      </c>
      <c r="B1339" s="28" t="s">
        <v>1570</v>
      </c>
      <c r="C1339" s="368" t="s">
        <v>2941</v>
      </c>
      <c r="D1339" s="369" t="s">
        <v>3057</v>
      </c>
      <c r="E1339" s="370" t="s">
        <v>2943</v>
      </c>
      <c r="F1339" s="366">
        <v>317480</v>
      </c>
      <c r="G1339" s="355" t="s">
        <v>2142</v>
      </c>
      <c r="H1339" s="356" t="s">
        <v>12</v>
      </c>
      <c r="I1339" s="26" t="s">
        <v>3061</v>
      </c>
    </row>
    <row r="1340" spans="1:9" ht="82.5">
      <c r="A1340" s="238">
        <v>1338</v>
      </c>
      <c r="B1340" s="28" t="s">
        <v>3058</v>
      </c>
      <c r="C1340" s="37" t="s">
        <v>2499</v>
      </c>
      <c r="D1340" s="37" t="s">
        <v>3059</v>
      </c>
      <c r="E1340" s="354" t="s">
        <v>3060</v>
      </c>
      <c r="F1340" s="355">
        <v>71885858</v>
      </c>
      <c r="G1340" s="355" t="s">
        <v>2142</v>
      </c>
      <c r="H1340" s="356" t="s">
        <v>12</v>
      </c>
      <c r="I1340" s="26" t="s">
        <v>3061</v>
      </c>
    </row>
    <row r="1341" spans="1:9" ht="47.25">
      <c r="A1341" s="238">
        <v>1339</v>
      </c>
      <c r="B1341" s="242" t="s">
        <v>1828</v>
      </c>
      <c r="C1341" s="252" t="s">
        <v>703</v>
      </c>
      <c r="D1341" s="253">
        <v>38</v>
      </c>
      <c r="E1341" s="313" t="s">
        <v>1848</v>
      </c>
      <c r="F1341" s="332">
        <v>5220756</v>
      </c>
      <c r="G1341" s="162" t="s">
        <v>11</v>
      </c>
      <c r="H1341" s="4"/>
      <c r="I1341" s="57" t="s">
        <v>2136</v>
      </c>
    </row>
    <row r="1342" spans="1:9" ht="16.5">
      <c r="A1342" s="238">
        <v>1340</v>
      </c>
      <c r="B1342" s="242" t="s">
        <v>1828</v>
      </c>
      <c r="C1342" s="246" t="s">
        <v>1849</v>
      </c>
      <c r="D1342" s="247">
        <v>5</v>
      </c>
      <c r="E1342" s="314" t="s">
        <v>1850</v>
      </c>
      <c r="F1342" s="254">
        <v>1460550</v>
      </c>
      <c r="G1342" s="162" t="s">
        <v>11</v>
      </c>
      <c r="H1342" s="4"/>
      <c r="I1342" s="57" t="s">
        <v>2136</v>
      </c>
    </row>
    <row r="1343" spans="1:9" ht="31.5">
      <c r="A1343" s="238">
        <v>1341</v>
      </c>
      <c r="B1343" s="242" t="s">
        <v>1828</v>
      </c>
      <c r="C1343" s="246" t="s">
        <v>89</v>
      </c>
      <c r="D1343" s="247" t="s">
        <v>1851</v>
      </c>
      <c r="E1343" s="257" t="s">
        <v>1852</v>
      </c>
      <c r="F1343" s="256">
        <v>146276</v>
      </c>
      <c r="G1343" s="162" t="s">
        <v>11</v>
      </c>
      <c r="H1343" s="4"/>
      <c r="I1343" s="57" t="s">
        <v>2136</v>
      </c>
    </row>
    <row r="1344" spans="1:9" ht="31.5">
      <c r="A1344" s="238">
        <v>1342</v>
      </c>
      <c r="B1344" s="242" t="s">
        <v>1828</v>
      </c>
      <c r="C1344" s="246" t="s">
        <v>89</v>
      </c>
      <c r="D1344" s="247" t="s">
        <v>1853</v>
      </c>
      <c r="E1344" s="257" t="s">
        <v>1852</v>
      </c>
      <c r="F1344" s="256">
        <v>147750</v>
      </c>
      <c r="G1344" s="162" t="s">
        <v>11</v>
      </c>
      <c r="H1344" s="4"/>
      <c r="I1344" s="57" t="s">
        <v>2136</v>
      </c>
    </row>
    <row r="1345" spans="1:9" ht="78.75">
      <c r="A1345" s="238">
        <v>1343</v>
      </c>
      <c r="B1345" s="242" t="s">
        <v>1828</v>
      </c>
      <c r="C1345" s="246" t="s">
        <v>9</v>
      </c>
      <c r="D1345" s="247">
        <v>14</v>
      </c>
      <c r="E1345" s="257" t="s">
        <v>1854</v>
      </c>
      <c r="F1345" s="249">
        <v>1466436</v>
      </c>
      <c r="G1345" s="162" t="s">
        <v>11</v>
      </c>
      <c r="H1345" s="4"/>
      <c r="I1345" s="57" t="s">
        <v>2136</v>
      </c>
    </row>
    <row r="1346" spans="1:9" ht="47.25">
      <c r="A1346" s="238">
        <v>1344</v>
      </c>
      <c r="B1346" s="242" t="s">
        <v>1828</v>
      </c>
      <c r="C1346" s="246" t="s">
        <v>9</v>
      </c>
      <c r="D1346" s="247">
        <v>34.04</v>
      </c>
      <c r="E1346" s="257" t="s">
        <v>1855</v>
      </c>
      <c r="F1346" s="249">
        <v>6300000</v>
      </c>
      <c r="G1346" s="162" t="s">
        <v>11</v>
      </c>
      <c r="H1346" s="4"/>
      <c r="I1346" s="57" t="s">
        <v>2136</v>
      </c>
    </row>
    <row r="1347" spans="1:9" ht="63">
      <c r="A1347" s="238">
        <v>1345</v>
      </c>
      <c r="B1347" s="242" t="s">
        <v>1828</v>
      </c>
      <c r="C1347" s="246" t="s">
        <v>13</v>
      </c>
      <c r="D1347" s="258">
        <v>49.1</v>
      </c>
      <c r="E1347" s="150" t="s">
        <v>1856</v>
      </c>
      <c r="F1347" s="259">
        <v>992753</v>
      </c>
      <c r="G1347" s="162" t="s">
        <v>11</v>
      </c>
      <c r="H1347" s="4"/>
      <c r="I1347" s="57" t="s">
        <v>2136</v>
      </c>
    </row>
    <row r="1348" spans="1:9" ht="31.5">
      <c r="A1348" s="238">
        <v>1346</v>
      </c>
      <c r="B1348" s="242" t="s">
        <v>1828</v>
      </c>
      <c r="C1348" s="246" t="s">
        <v>13</v>
      </c>
      <c r="D1348" s="258">
        <v>28</v>
      </c>
      <c r="E1348" s="314" t="s">
        <v>1857</v>
      </c>
      <c r="F1348" s="259">
        <v>381000</v>
      </c>
      <c r="G1348" s="162" t="s">
        <v>11</v>
      </c>
      <c r="H1348" s="4"/>
      <c r="I1348" s="57" t="s">
        <v>2136</v>
      </c>
    </row>
    <row r="1349" spans="1:9" ht="47.25">
      <c r="A1349" s="238">
        <v>1347</v>
      </c>
      <c r="B1349" s="242" t="s">
        <v>1828</v>
      </c>
      <c r="C1349" s="252" t="s">
        <v>703</v>
      </c>
      <c r="D1349" s="253">
        <v>29.2</v>
      </c>
      <c r="E1349" s="313" t="s">
        <v>1858</v>
      </c>
      <c r="F1349" s="332">
        <v>444724</v>
      </c>
      <c r="G1349" s="162" t="s">
        <v>11</v>
      </c>
      <c r="H1349" s="4"/>
      <c r="I1349" s="57" t="s">
        <v>2136</v>
      </c>
    </row>
    <row r="1350" spans="1:9" ht="33">
      <c r="A1350" s="238">
        <v>1348</v>
      </c>
      <c r="B1350" s="29" t="s">
        <v>1829</v>
      </c>
      <c r="C1350" s="26" t="s">
        <v>1859</v>
      </c>
      <c r="D1350" s="260">
        <v>6</v>
      </c>
      <c r="E1350" s="273" t="s">
        <v>1860</v>
      </c>
      <c r="F1350" s="269">
        <v>315412</v>
      </c>
      <c r="G1350" s="162" t="s">
        <v>11</v>
      </c>
      <c r="H1350" s="4"/>
      <c r="I1350" s="57" t="s">
        <v>2136</v>
      </c>
    </row>
    <row r="1351" spans="1:9" ht="47.25">
      <c r="A1351" s="238">
        <v>1349</v>
      </c>
      <c r="B1351" s="29" t="s">
        <v>1829</v>
      </c>
      <c r="C1351" s="26" t="s">
        <v>1849</v>
      </c>
      <c r="D1351" s="260">
        <v>1</v>
      </c>
      <c r="E1351" s="273" t="s">
        <v>1861</v>
      </c>
      <c r="F1351" s="269">
        <v>6336000</v>
      </c>
      <c r="G1351" s="162" t="s">
        <v>11</v>
      </c>
      <c r="H1351" s="4"/>
      <c r="I1351" s="57" t="s">
        <v>2136</v>
      </c>
    </row>
    <row r="1352" spans="1:9" ht="33">
      <c r="A1352" s="238">
        <v>1350</v>
      </c>
      <c r="B1352" s="29" t="s">
        <v>1829</v>
      </c>
      <c r="C1352" s="26" t="s">
        <v>1849</v>
      </c>
      <c r="D1352" s="260">
        <v>13</v>
      </c>
      <c r="E1352" s="273" t="s">
        <v>1862</v>
      </c>
      <c r="F1352" s="269">
        <v>28030</v>
      </c>
      <c r="G1352" s="162" t="s">
        <v>11</v>
      </c>
      <c r="H1352" s="4"/>
      <c r="I1352" s="57" t="s">
        <v>2136</v>
      </c>
    </row>
    <row r="1353" spans="1:9" ht="63">
      <c r="A1353" s="238">
        <v>1351</v>
      </c>
      <c r="B1353" s="29" t="s">
        <v>1829</v>
      </c>
      <c r="C1353" s="26" t="s">
        <v>1849</v>
      </c>
      <c r="D1353" s="260">
        <v>2</v>
      </c>
      <c r="E1353" s="273" t="s">
        <v>1863</v>
      </c>
      <c r="F1353" s="269">
        <v>2317027</v>
      </c>
      <c r="G1353" s="162" t="s">
        <v>11</v>
      </c>
      <c r="H1353" s="4"/>
      <c r="I1353" s="57" t="s">
        <v>2136</v>
      </c>
    </row>
    <row r="1354" spans="1:9" ht="63">
      <c r="A1354" s="238">
        <v>1352</v>
      </c>
      <c r="B1354" s="29" t="s">
        <v>1829</v>
      </c>
      <c r="C1354" s="26" t="s">
        <v>1849</v>
      </c>
      <c r="D1354" s="260">
        <v>4</v>
      </c>
      <c r="E1354" s="273" t="s">
        <v>1864</v>
      </c>
      <c r="F1354" s="269">
        <v>379308</v>
      </c>
      <c r="G1354" s="162" t="s">
        <v>11</v>
      </c>
      <c r="H1354" s="4"/>
      <c r="I1354" s="57" t="s">
        <v>2136</v>
      </c>
    </row>
    <row r="1355" spans="1:9" ht="33">
      <c r="A1355" s="238">
        <v>1353</v>
      </c>
      <c r="B1355" s="29" t="s">
        <v>1829</v>
      </c>
      <c r="C1355" s="26" t="s">
        <v>135</v>
      </c>
      <c r="D1355" s="260">
        <v>2</v>
      </c>
      <c r="E1355" s="273" t="s">
        <v>1865</v>
      </c>
      <c r="F1355" s="269">
        <v>2079390</v>
      </c>
      <c r="G1355" s="162" t="s">
        <v>11</v>
      </c>
      <c r="H1355" s="4"/>
      <c r="I1355" s="57" t="s">
        <v>2136</v>
      </c>
    </row>
    <row r="1356" spans="1:9" ht="33">
      <c r="A1356" s="238">
        <v>1354</v>
      </c>
      <c r="B1356" s="29" t="s">
        <v>1829</v>
      </c>
      <c r="C1356" s="26" t="s">
        <v>537</v>
      </c>
      <c r="D1356" s="260">
        <v>3</v>
      </c>
      <c r="E1356" s="273" t="s">
        <v>1866</v>
      </c>
      <c r="F1356" s="269">
        <v>1905000</v>
      </c>
      <c r="G1356" s="162" t="s">
        <v>11</v>
      </c>
      <c r="H1356" s="4"/>
      <c r="I1356" s="57" t="s">
        <v>2136</v>
      </c>
    </row>
    <row r="1357" spans="1:9" ht="33">
      <c r="A1357" s="238">
        <v>1355</v>
      </c>
      <c r="B1357" s="29" t="s">
        <v>1829</v>
      </c>
      <c r="C1357" s="26" t="s">
        <v>280</v>
      </c>
      <c r="D1357" s="260">
        <v>3</v>
      </c>
      <c r="E1357" s="273" t="s">
        <v>1867</v>
      </c>
      <c r="F1357" s="269">
        <v>1965000</v>
      </c>
      <c r="G1357" s="162" t="s">
        <v>11</v>
      </c>
      <c r="H1357" s="4"/>
      <c r="I1357" s="57" t="s">
        <v>2136</v>
      </c>
    </row>
    <row r="1358" spans="1:9" ht="33">
      <c r="A1358" s="238">
        <v>1356</v>
      </c>
      <c r="B1358" s="29" t="s">
        <v>1829</v>
      </c>
      <c r="C1358" s="26" t="s">
        <v>102</v>
      </c>
      <c r="D1358" s="260">
        <v>3</v>
      </c>
      <c r="E1358" s="273" t="s">
        <v>1868</v>
      </c>
      <c r="F1358" s="269">
        <v>3294467</v>
      </c>
      <c r="G1358" s="162" t="s">
        <v>11</v>
      </c>
      <c r="H1358" s="4"/>
      <c r="I1358" s="57" t="s">
        <v>2136</v>
      </c>
    </row>
    <row r="1359" spans="1:9" ht="33">
      <c r="A1359" s="238">
        <v>1357</v>
      </c>
      <c r="B1359" s="29" t="s">
        <v>1829</v>
      </c>
      <c r="C1359" s="26" t="s">
        <v>102</v>
      </c>
      <c r="D1359" s="260">
        <v>5</v>
      </c>
      <c r="E1359" s="273" t="s">
        <v>1869</v>
      </c>
      <c r="F1359" s="269">
        <v>118800</v>
      </c>
      <c r="G1359" s="162" t="s">
        <v>11</v>
      </c>
      <c r="H1359" s="4"/>
      <c r="I1359" s="57" t="s">
        <v>2136</v>
      </c>
    </row>
    <row r="1360" spans="1:9" ht="33">
      <c r="A1360" s="238">
        <v>1358</v>
      </c>
      <c r="B1360" s="29" t="s">
        <v>1829</v>
      </c>
      <c r="C1360" s="26" t="s">
        <v>1132</v>
      </c>
      <c r="D1360" s="260">
        <v>2</v>
      </c>
      <c r="E1360" s="273" t="s">
        <v>1870</v>
      </c>
      <c r="F1360" s="269">
        <v>2235085</v>
      </c>
      <c r="G1360" s="162" t="s">
        <v>11</v>
      </c>
      <c r="H1360" s="4"/>
      <c r="I1360" s="57" t="s">
        <v>2136</v>
      </c>
    </row>
    <row r="1361" spans="1:9" ht="63">
      <c r="A1361" s="238">
        <v>1359</v>
      </c>
      <c r="B1361" s="29" t="s">
        <v>1829</v>
      </c>
      <c r="C1361" s="26" t="s">
        <v>1132</v>
      </c>
      <c r="D1361" s="260">
        <v>3</v>
      </c>
      <c r="E1361" s="273" t="s">
        <v>1871</v>
      </c>
      <c r="F1361" s="269">
        <v>324312</v>
      </c>
      <c r="G1361" s="162" t="s">
        <v>11</v>
      </c>
      <c r="H1361" s="4"/>
      <c r="I1361" s="57" t="s">
        <v>2136</v>
      </c>
    </row>
    <row r="1362" spans="1:9" ht="33">
      <c r="A1362" s="238">
        <v>1360</v>
      </c>
      <c r="B1362" s="29" t="s">
        <v>1829</v>
      </c>
      <c r="C1362" s="26" t="s">
        <v>1132</v>
      </c>
      <c r="D1362" s="260">
        <v>5</v>
      </c>
      <c r="E1362" s="273" t="s">
        <v>1872</v>
      </c>
      <c r="F1362" s="269">
        <v>252879</v>
      </c>
      <c r="G1362" s="162" t="s">
        <v>11</v>
      </c>
      <c r="H1362" s="4"/>
      <c r="I1362" s="57" t="s">
        <v>2136</v>
      </c>
    </row>
    <row r="1363" spans="1:9" ht="33">
      <c r="A1363" s="238">
        <v>1361</v>
      </c>
      <c r="B1363" s="29" t="s">
        <v>1829</v>
      </c>
      <c r="C1363" s="26" t="s">
        <v>153</v>
      </c>
      <c r="D1363" s="260">
        <v>3</v>
      </c>
      <c r="E1363" s="273" t="s">
        <v>1873</v>
      </c>
      <c r="F1363" s="269">
        <v>830166</v>
      </c>
      <c r="G1363" s="162" t="s">
        <v>11</v>
      </c>
      <c r="H1363" s="4"/>
      <c r="I1363" s="57" t="s">
        <v>2136</v>
      </c>
    </row>
    <row r="1364" spans="1:9" ht="33">
      <c r="A1364" s="238">
        <v>1362</v>
      </c>
      <c r="B1364" s="29" t="s">
        <v>1829</v>
      </c>
      <c r="C1364" s="26" t="s">
        <v>153</v>
      </c>
      <c r="D1364" s="260">
        <v>4</v>
      </c>
      <c r="E1364" s="273" t="s">
        <v>1874</v>
      </c>
      <c r="F1364" s="269">
        <v>1015980</v>
      </c>
      <c r="G1364" s="162" t="s">
        <v>11</v>
      </c>
      <c r="H1364" s="4"/>
      <c r="I1364" s="57" t="s">
        <v>2136</v>
      </c>
    </row>
    <row r="1365" spans="1:9" ht="47.25">
      <c r="A1365" s="238">
        <v>1363</v>
      </c>
      <c r="B1365" s="29" t="s">
        <v>1829</v>
      </c>
      <c r="C1365" s="26" t="s">
        <v>69</v>
      </c>
      <c r="D1365" s="260">
        <v>1</v>
      </c>
      <c r="E1365" s="273" t="s">
        <v>1875</v>
      </c>
      <c r="F1365" s="269">
        <v>488843</v>
      </c>
      <c r="G1365" s="162" t="s">
        <v>11</v>
      </c>
      <c r="H1365" s="4"/>
      <c r="I1365" s="57" t="s">
        <v>2136</v>
      </c>
    </row>
    <row r="1366" spans="1:9" ht="63">
      <c r="A1366" s="238">
        <v>1364</v>
      </c>
      <c r="B1366" s="29" t="s">
        <v>1829</v>
      </c>
      <c r="C1366" s="26" t="s">
        <v>69</v>
      </c>
      <c r="D1366" s="260">
        <v>2</v>
      </c>
      <c r="E1366" s="273" t="s">
        <v>1876</v>
      </c>
      <c r="F1366" s="269">
        <v>331207</v>
      </c>
      <c r="G1366" s="162" t="s">
        <v>11</v>
      </c>
      <c r="H1366" s="4"/>
      <c r="I1366" s="57" t="s">
        <v>2136</v>
      </c>
    </row>
    <row r="1367" spans="1:9" ht="47.25">
      <c r="A1367" s="238">
        <v>1365</v>
      </c>
      <c r="B1367" s="29" t="s">
        <v>1829</v>
      </c>
      <c r="C1367" s="26" t="s">
        <v>69</v>
      </c>
      <c r="D1367" s="260">
        <v>3</v>
      </c>
      <c r="E1367" s="261" t="s">
        <v>1877</v>
      </c>
      <c r="F1367" s="269">
        <v>118333</v>
      </c>
      <c r="G1367" s="162" t="s">
        <v>11</v>
      </c>
      <c r="H1367" s="4"/>
      <c r="I1367" s="57" t="s">
        <v>2136</v>
      </c>
    </row>
    <row r="1368" spans="1:9" ht="63">
      <c r="A1368" s="238">
        <v>1366</v>
      </c>
      <c r="B1368" s="29" t="s">
        <v>1829</v>
      </c>
      <c r="C1368" s="26" t="s">
        <v>269</v>
      </c>
      <c r="D1368" s="260">
        <v>3</v>
      </c>
      <c r="E1368" s="261" t="s">
        <v>1878</v>
      </c>
      <c r="F1368" s="269">
        <v>3569046</v>
      </c>
      <c r="G1368" s="162" t="s">
        <v>11</v>
      </c>
      <c r="H1368" s="4"/>
      <c r="I1368" s="57" t="s">
        <v>2136</v>
      </c>
    </row>
    <row r="1369" spans="1:9" ht="33">
      <c r="A1369" s="238">
        <v>1367</v>
      </c>
      <c r="B1369" s="29" t="s">
        <v>1829</v>
      </c>
      <c r="C1369" s="26" t="s">
        <v>269</v>
      </c>
      <c r="D1369" s="260">
        <v>1</v>
      </c>
      <c r="E1369" s="273" t="s">
        <v>1879</v>
      </c>
      <c r="F1369" s="269">
        <v>5375221</v>
      </c>
      <c r="G1369" s="162" t="s">
        <v>11</v>
      </c>
      <c r="H1369" s="4"/>
      <c r="I1369" s="57" t="s">
        <v>2136</v>
      </c>
    </row>
    <row r="1370" spans="1:9" ht="63">
      <c r="A1370" s="238">
        <v>1368</v>
      </c>
      <c r="B1370" s="29" t="s">
        <v>1829</v>
      </c>
      <c r="C1370" s="26" t="s">
        <v>269</v>
      </c>
      <c r="D1370" s="260">
        <v>2</v>
      </c>
      <c r="E1370" s="273" t="s">
        <v>1880</v>
      </c>
      <c r="F1370" s="269">
        <v>103655000</v>
      </c>
      <c r="G1370" s="162" t="s">
        <v>11</v>
      </c>
      <c r="H1370" s="4"/>
      <c r="I1370" s="57" t="s">
        <v>2136</v>
      </c>
    </row>
    <row r="1371" spans="1:9" ht="47.25">
      <c r="A1371" s="238">
        <v>1369</v>
      </c>
      <c r="B1371" s="29" t="s">
        <v>1829</v>
      </c>
      <c r="C1371" s="26" t="s">
        <v>178</v>
      </c>
      <c r="D1371" s="260">
        <v>8</v>
      </c>
      <c r="E1371" s="273" t="s">
        <v>1881</v>
      </c>
      <c r="F1371" s="269">
        <v>603268</v>
      </c>
      <c r="G1371" s="162" t="s">
        <v>11</v>
      </c>
      <c r="H1371" s="4"/>
      <c r="I1371" s="57" t="s">
        <v>2136</v>
      </c>
    </row>
    <row r="1372" spans="1:9" ht="78.75">
      <c r="A1372" s="238">
        <v>1370</v>
      </c>
      <c r="B1372" s="29" t="s">
        <v>1829</v>
      </c>
      <c r="C1372" s="26" t="s">
        <v>178</v>
      </c>
      <c r="D1372" s="260">
        <v>6</v>
      </c>
      <c r="E1372" s="273" t="s">
        <v>1882</v>
      </c>
      <c r="F1372" s="269">
        <v>485320</v>
      </c>
      <c r="G1372" s="162" t="s">
        <v>11</v>
      </c>
      <c r="H1372" s="4"/>
      <c r="I1372" s="57" t="s">
        <v>2136</v>
      </c>
    </row>
    <row r="1373" spans="1:9" ht="47.25">
      <c r="A1373" s="238">
        <v>1371</v>
      </c>
      <c r="B1373" s="29" t="s">
        <v>1829</v>
      </c>
      <c r="C1373" s="26" t="s">
        <v>178</v>
      </c>
      <c r="D1373" s="260">
        <v>9</v>
      </c>
      <c r="E1373" s="273" t="s">
        <v>1883</v>
      </c>
      <c r="F1373" s="269">
        <v>182952</v>
      </c>
      <c r="G1373" s="162" t="s">
        <v>11</v>
      </c>
      <c r="H1373" s="4"/>
      <c r="I1373" s="57" t="s">
        <v>2136</v>
      </c>
    </row>
    <row r="1374" spans="1:9" ht="47.25">
      <c r="A1374" s="238">
        <v>1372</v>
      </c>
      <c r="B1374" s="29" t="s">
        <v>1829</v>
      </c>
      <c r="C1374" s="26" t="s">
        <v>178</v>
      </c>
      <c r="D1374" s="260">
        <v>5</v>
      </c>
      <c r="E1374" s="273" t="s">
        <v>1884</v>
      </c>
      <c r="F1374" s="269">
        <v>135968</v>
      </c>
      <c r="G1374" s="162" t="s">
        <v>11</v>
      </c>
      <c r="H1374" s="4"/>
      <c r="I1374" s="57" t="s">
        <v>2136</v>
      </c>
    </row>
    <row r="1375" spans="1:9" ht="47.25">
      <c r="A1375" s="238">
        <v>1373</v>
      </c>
      <c r="B1375" s="29" t="s">
        <v>1829</v>
      </c>
      <c r="C1375" s="26" t="s">
        <v>178</v>
      </c>
      <c r="D1375" s="260">
        <v>10</v>
      </c>
      <c r="E1375" s="273" t="s">
        <v>1885</v>
      </c>
      <c r="F1375" s="269">
        <v>7847563</v>
      </c>
      <c r="G1375" s="162" t="s">
        <v>11</v>
      </c>
      <c r="H1375" s="4"/>
      <c r="I1375" s="57" t="s">
        <v>2136</v>
      </c>
    </row>
    <row r="1376" spans="1:9" ht="47.25">
      <c r="A1376" s="238">
        <v>1374</v>
      </c>
      <c r="B1376" s="29" t="s">
        <v>1829</v>
      </c>
      <c r="C1376" s="26" t="s">
        <v>178</v>
      </c>
      <c r="D1376" s="260">
        <v>1</v>
      </c>
      <c r="E1376" s="273" t="s">
        <v>1886</v>
      </c>
      <c r="F1376" s="269">
        <v>10558672</v>
      </c>
      <c r="G1376" s="162" t="s">
        <v>11</v>
      </c>
      <c r="H1376" s="4"/>
      <c r="I1376" s="57" t="s">
        <v>2136</v>
      </c>
    </row>
    <row r="1377" spans="1:9" ht="33">
      <c r="A1377" s="238">
        <v>1375</v>
      </c>
      <c r="B1377" s="29" t="s">
        <v>1829</v>
      </c>
      <c r="C1377" s="26" t="s">
        <v>178</v>
      </c>
      <c r="D1377" s="260">
        <v>2</v>
      </c>
      <c r="E1377" s="273" t="s">
        <v>1887</v>
      </c>
      <c r="F1377" s="269">
        <v>1014260</v>
      </c>
      <c r="G1377" s="162" t="s">
        <v>11</v>
      </c>
      <c r="H1377" s="4"/>
      <c r="I1377" s="57" t="s">
        <v>2136</v>
      </c>
    </row>
    <row r="1378" spans="1:9" ht="78.75">
      <c r="A1378" s="238">
        <v>1376</v>
      </c>
      <c r="B1378" s="29" t="s">
        <v>1829</v>
      </c>
      <c r="C1378" s="26" t="s">
        <v>178</v>
      </c>
      <c r="D1378" s="260">
        <v>3</v>
      </c>
      <c r="E1378" s="273" t="s">
        <v>1888</v>
      </c>
      <c r="F1378" s="269">
        <v>575046</v>
      </c>
      <c r="G1378" s="162" t="s">
        <v>11</v>
      </c>
      <c r="H1378" s="4"/>
      <c r="I1378" s="57" t="s">
        <v>2136</v>
      </c>
    </row>
    <row r="1379" spans="1:9" ht="141.75">
      <c r="A1379" s="238">
        <v>1377</v>
      </c>
      <c r="B1379" s="29" t="s">
        <v>1829</v>
      </c>
      <c r="C1379" s="26" t="s">
        <v>178</v>
      </c>
      <c r="D1379" s="260">
        <v>4</v>
      </c>
      <c r="E1379" s="273" t="s">
        <v>1889</v>
      </c>
      <c r="F1379" s="269">
        <v>3028882.63</v>
      </c>
      <c r="G1379" s="162" t="s">
        <v>11</v>
      </c>
      <c r="H1379" s="4"/>
      <c r="I1379" s="57" t="s">
        <v>2136</v>
      </c>
    </row>
    <row r="1380" spans="1:9" ht="78.75">
      <c r="A1380" s="238">
        <v>1378</v>
      </c>
      <c r="B1380" s="29" t="s">
        <v>1829</v>
      </c>
      <c r="C1380" s="26" t="s">
        <v>157</v>
      </c>
      <c r="D1380" s="260">
        <v>4</v>
      </c>
      <c r="E1380" s="273" t="s">
        <v>1890</v>
      </c>
      <c r="F1380" s="269">
        <v>8182455</v>
      </c>
      <c r="G1380" s="162" t="s">
        <v>11</v>
      </c>
      <c r="H1380" s="4"/>
      <c r="I1380" s="57" t="s">
        <v>2136</v>
      </c>
    </row>
    <row r="1381" spans="1:9" ht="47.25">
      <c r="A1381" s="238">
        <v>1379</v>
      </c>
      <c r="B1381" s="29" t="s">
        <v>1829</v>
      </c>
      <c r="C1381" s="26" t="s">
        <v>157</v>
      </c>
      <c r="D1381" s="260">
        <v>28</v>
      </c>
      <c r="E1381" s="273" t="s">
        <v>1891</v>
      </c>
      <c r="F1381" s="269">
        <v>9847321</v>
      </c>
      <c r="G1381" s="162" t="s">
        <v>11</v>
      </c>
      <c r="H1381" s="4"/>
      <c r="I1381" s="57" t="s">
        <v>2136</v>
      </c>
    </row>
    <row r="1382" spans="1:9" ht="47.25">
      <c r="A1382" s="238">
        <v>1380</v>
      </c>
      <c r="B1382" s="29" t="s">
        <v>1829</v>
      </c>
      <c r="C1382" s="26" t="s">
        <v>157</v>
      </c>
      <c r="D1382" s="260">
        <v>7</v>
      </c>
      <c r="E1382" s="273" t="s">
        <v>1892</v>
      </c>
      <c r="F1382" s="269">
        <v>24645168</v>
      </c>
      <c r="G1382" s="162" t="s">
        <v>11</v>
      </c>
      <c r="H1382" s="4"/>
      <c r="I1382" s="57" t="s">
        <v>2136</v>
      </c>
    </row>
    <row r="1383" spans="1:9" ht="47.25">
      <c r="A1383" s="238">
        <v>1381</v>
      </c>
      <c r="B1383" s="29" t="s">
        <v>1829</v>
      </c>
      <c r="C1383" s="26" t="s">
        <v>89</v>
      </c>
      <c r="D1383" s="260">
        <v>1</v>
      </c>
      <c r="E1383" s="261" t="s">
        <v>1893</v>
      </c>
      <c r="F1383" s="270">
        <v>13724506</v>
      </c>
      <c r="G1383" s="162" t="s">
        <v>11</v>
      </c>
      <c r="H1383" s="4"/>
      <c r="I1383" s="57" t="s">
        <v>2136</v>
      </c>
    </row>
    <row r="1384" spans="1:9" ht="47.25">
      <c r="A1384" s="238">
        <v>1382</v>
      </c>
      <c r="B1384" s="29" t="s">
        <v>1829</v>
      </c>
      <c r="C1384" s="26" t="s">
        <v>89</v>
      </c>
      <c r="D1384" s="260">
        <v>7</v>
      </c>
      <c r="E1384" s="261" t="s">
        <v>1894</v>
      </c>
      <c r="F1384" s="270">
        <v>12027752</v>
      </c>
      <c r="G1384" s="162" t="s">
        <v>11</v>
      </c>
      <c r="H1384" s="4"/>
      <c r="I1384" s="57" t="s">
        <v>2136</v>
      </c>
    </row>
    <row r="1385" spans="1:9" ht="33">
      <c r="A1385" s="238">
        <v>1383</v>
      </c>
      <c r="B1385" s="29" t="s">
        <v>1829</v>
      </c>
      <c r="C1385" s="26" t="s">
        <v>89</v>
      </c>
      <c r="D1385" s="260">
        <v>9</v>
      </c>
      <c r="E1385" s="261" t="s">
        <v>1895</v>
      </c>
      <c r="F1385" s="270">
        <v>17580089</v>
      </c>
      <c r="G1385" s="162" t="s">
        <v>11</v>
      </c>
      <c r="H1385" s="4"/>
      <c r="I1385" s="57" t="s">
        <v>2136</v>
      </c>
    </row>
    <row r="1386" spans="1:9" ht="63">
      <c r="A1386" s="238">
        <v>1384</v>
      </c>
      <c r="B1386" s="29" t="s">
        <v>1829</v>
      </c>
      <c r="C1386" s="26" t="s">
        <v>89</v>
      </c>
      <c r="D1386" s="260">
        <v>23</v>
      </c>
      <c r="E1386" s="261" t="s">
        <v>1896</v>
      </c>
      <c r="F1386" s="270">
        <v>165753908</v>
      </c>
      <c r="G1386" s="162" t="s">
        <v>11</v>
      </c>
      <c r="H1386" s="4"/>
      <c r="I1386" s="57" t="s">
        <v>2136</v>
      </c>
    </row>
    <row r="1387" spans="1:9" ht="78.75">
      <c r="A1387" s="238">
        <v>1385</v>
      </c>
      <c r="B1387" s="29" t="s">
        <v>1829</v>
      </c>
      <c r="C1387" s="26" t="s">
        <v>34</v>
      </c>
      <c r="D1387" s="262">
        <v>6</v>
      </c>
      <c r="E1387" s="315" t="s">
        <v>1897</v>
      </c>
      <c r="F1387" s="333" t="s">
        <v>1898</v>
      </c>
      <c r="G1387" s="162" t="s">
        <v>11</v>
      </c>
      <c r="H1387" s="4"/>
      <c r="I1387" s="57" t="s">
        <v>2136</v>
      </c>
    </row>
    <row r="1388" spans="1:9" ht="63">
      <c r="A1388" s="238">
        <v>1386</v>
      </c>
      <c r="B1388" s="29" t="s">
        <v>1829</v>
      </c>
      <c r="C1388" s="263" t="s">
        <v>703</v>
      </c>
      <c r="D1388" s="264">
        <v>53</v>
      </c>
      <c r="E1388" s="316" t="s">
        <v>1899</v>
      </c>
      <c r="F1388" s="334">
        <v>1614187</v>
      </c>
      <c r="G1388" s="162" t="s">
        <v>11</v>
      </c>
      <c r="H1388" s="4"/>
      <c r="I1388" s="57" t="s">
        <v>2136</v>
      </c>
    </row>
    <row r="1389" spans="1:9" ht="33">
      <c r="A1389" s="238">
        <v>1387</v>
      </c>
      <c r="B1389" s="29" t="s">
        <v>1829</v>
      </c>
      <c r="C1389" s="26" t="s">
        <v>13</v>
      </c>
      <c r="D1389" s="260">
        <v>17</v>
      </c>
      <c r="E1389" s="315" t="s">
        <v>1900</v>
      </c>
      <c r="F1389" s="272">
        <v>6496707</v>
      </c>
      <c r="G1389" s="162" t="s">
        <v>11</v>
      </c>
      <c r="H1389" s="4"/>
      <c r="I1389" s="57" t="s">
        <v>2136</v>
      </c>
    </row>
    <row r="1390" spans="1:9" ht="47.25">
      <c r="A1390" s="238">
        <v>1388</v>
      </c>
      <c r="B1390" s="29" t="s">
        <v>1829</v>
      </c>
      <c r="C1390" s="26" t="s">
        <v>13</v>
      </c>
      <c r="D1390" s="262">
        <v>18</v>
      </c>
      <c r="E1390" s="315" t="s">
        <v>1901</v>
      </c>
      <c r="F1390" s="272">
        <v>2745175</v>
      </c>
      <c r="G1390" s="162" t="s">
        <v>11</v>
      </c>
      <c r="H1390" s="4"/>
      <c r="I1390" s="57" t="s">
        <v>2136</v>
      </c>
    </row>
    <row r="1391" spans="1:9" ht="63">
      <c r="A1391" s="238">
        <v>1389</v>
      </c>
      <c r="B1391" s="29" t="s">
        <v>1829</v>
      </c>
      <c r="C1391" s="26" t="s">
        <v>13</v>
      </c>
      <c r="D1391" s="262">
        <v>22</v>
      </c>
      <c r="E1391" s="315" t="s">
        <v>1902</v>
      </c>
      <c r="F1391" s="272">
        <v>28794000</v>
      </c>
      <c r="G1391" s="162" t="s">
        <v>11</v>
      </c>
      <c r="H1391" s="4"/>
      <c r="I1391" s="57" t="s">
        <v>2136</v>
      </c>
    </row>
    <row r="1392" spans="1:9" ht="63">
      <c r="A1392" s="238">
        <v>1390</v>
      </c>
      <c r="B1392" s="29" t="s">
        <v>1829</v>
      </c>
      <c r="C1392" s="26" t="s">
        <v>13</v>
      </c>
      <c r="D1392" s="262">
        <v>25.3</v>
      </c>
      <c r="E1392" s="315" t="s">
        <v>1903</v>
      </c>
      <c r="F1392" s="272">
        <v>1538600</v>
      </c>
      <c r="G1392" s="162" t="s">
        <v>11</v>
      </c>
      <c r="H1392" s="4"/>
      <c r="I1392" s="57" t="s">
        <v>2136</v>
      </c>
    </row>
    <row r="1393" spans="1:9" ht="33">
      <c r="A1393" s="238">
        <v>1391</v>
      </c>
      <c r="B1393" s="29" t="s">
        <v>1829</v>
      </c>
      <c r="C1393" s="26" t="s">
        <v>13</v>
      </c>
      <c r="D1393" s="262">
        <v>30</v>
      </c>
      <c r="E1393" s="315" t="s">
        <v>1904</v>
      </c>
      <c r="F1393" s="272">
        <v>32465</v>
      </c>
      <c r="G1393" s="162" t="s">
        <v>11</v>
      </c>
      <c r="H1393" s="4"/>
      <c r="I1393" s="57" t="s">
        <v>2136</v>
      </c>
    </row>
    <row r="1394" spans="1:9" ht="63">
      <c r="A1394" s="238">
        <v>1392</v>
      </c>
      <c r="B1394" s="29" t="s">
        <v>1829</v>
      </c>
      <c r="C1394" s="263" t="s">
        <v>703</v>
      </c>
      <c r="D1394" s="264">
        <v>45.3</v>
      </c>
      <c r="E1394" s="316" t="s">
        <v>1905</v>
      </c>
      <c r="F1394" s="334">
        <v>2383645</v>
      </c>
      <c r="G1394" s="162" t="s">
        <v>11</v>
      </c>
      <c r="H1394" s="4"/>
      <c r="I1394" s="57" t="s">
        <v>2136</v>
      </c>
    </row>
    <row r="1395" spans="1:9" ht="47.25">
      <c r="A1395" s="238">
        <v>1393</v>
      </c>
      <c r="B1395" s="29" t="s">
        <v>1829</v>
      </c>
      <c r="C1395" s="26" t="s">
        <v>13</v>
      </c>
      <c r="D1395" s="262">
        <v>49.2</v>
      </c>
      <c r="E1395" s="273" t="s">
        <v>1906</v>
      </c>
      <c r="F1395" s="272">
        <v>6687817</v>
      </c>
      <c r="G1395" s="162" t="s">
        <v>11</v>
      </c>
      <c r="H1395" s="4"/>
      <c r="I1395" s="57" t="s">
        <v>2136</v>
      </c>
    </row>
    <row r="1396" spans="1:9" ht="63">
      <c r="A1396" s="238">
        <v>1394</v>
      </c>
      <c r="B1396" s="29" t="s">
        <v>1829</v>
      </c>
      <c r="C1396" s="265" t="s">
        <v>180</v>
      </c>
      <c r="D1396" s="266">
        <v>66</v>
      </c>
      <c r="E1396" s="317" t="s">
        <v>1907</v>
      </c>
      <c r="F1396" s="3">
        <v>444.5025</v>
      </c>
      <c r="G1396" s="162" t="s">
        <v>11</v>
      </c>
      <c r="H1396" s="4"/>
      <c r="I1396" s="57" t="s">
        <v>2136</v>
      </c>
    </row>
    <row r="1397" spans="1:9" ht="78.75">
      <c r="A1397" s="238">
        <v>1395</v>
      </c>
      <c r="B1397" s="29" t="s">
        <v>1829</v>
      </c>
      <c r="C1397" s="265" t="s">
        <v>180</v>
      </c>
      <c r="D1397" s="266">
        <v>67</v>
      </c>
      <c r="E1397" s="317" t="s">
        <v>1908</v>
      </c>
      <c r="F1397" s="335">
        <v>737205</v>
      </c>
      <c r="G1397" s="162" t="s">
        <v>11</v>
      </c>
      <c r="H1397" s="4"/>
      <c r="I1397" s="57" t="s">
        <v>2136</v>
      </c>
    </row>
    <row r="1398" spans="1:9" ht="63">
      <c r="A1398" s="238">
        <v>1396</v>
      </c>
      <c r="B1398" s="29" t="s">
        <v>1829</v>
      </c>
      <c r="C1398" s="265" t="s">
        <v>180</v>
      </c>
      <c r="D1398" s="266">
        <v>68</v>
      </c>
      <c r="E1398" s="317" t="s">
        <v>1909</v>
      </c>
      <c r="F1398" s="335">
        <v>3127770</v>
      </c>
      <c r="G1398" s="162" t="s">
        <v>11</v>
      </c>
      <c r="H1398" s="4"/>
      <c r="I1398" s="57" t="s">
        <v>2136</v>
      </c>
    </row>
    <row r="1399" spans="1:9" ht="78.75">
      <c r="A1399" s="238">
        <v>1397</v>
      </c>
      <c r="B1399" s="29" t="s">
        <v>1829</v>
      </c>
      <c r="C1399" s="265" t="s">
        <v>180</v>
      </c>
      <c r="D1399" s="267">
        <v>82.2</v>
      </c>
      <c r="E1399" s="317" t="s">
        <v>1910</v>
      </c>
      <c r="F1399" s="281">
        <v>3930473</v>
      </c>
      <c r="G1399" s="162" t="s">
        <v>11</v>
      </c>
      <c r="H1399" s="4"/>
      <c r="I1399" s="57" t="s">
        <v>2136</v>
      </c>
    </row>
    <row r="1400" spans="1:9" ht="78.75">
      <c r="A1400" s="238">
        <v>1398</v>
      </c>
      <c r="B1400" s="29" t="s">
        <v>1829</v>
      </c>
      <c r="C1400" s="265" t="s">
        <v>180</v>
      </c>
      <c r="D1400" s="267">
        <v>96.2</v>
      </c>
      <c r="E1400" s="317" t="s">
        <v>1911</v>
      </c>
      <c r="F1400" s="335">
        <v>8477915</v>
      </c>
      <c r="G1400" s="162" t="s">
        <v>11</v>
      </c>
      <c r="H1400" s="4"/>
      <c r="I1400" s="57" t="s">
        <v>2136</v>
      </c>
    </row>
    <row r="1401" spans="1:9" ht="47.25">
      <c r="A1401" s="238">
        <v>1399</v>
      </c>
      <c r="B1401" s="29" t="s">
        <v>1830</v>
      </c>
      <c r="C1401" s="26" t="s">
        <v>153</v>
      </c>
      <c r="D1401" s="268" t="s">
        <v>1912</v>
      </c>
      <c r="E1401" s="261" t="s">
        <v>1913</v>
      </c>
      <c r="F1401" s="269">
        <v>6814605</v>
      </c>
      <c r="G1401" s="162" t="s">
        <v>11</v>
      </c>
      <c r="H1401" s="4"/>
      <c r="I1401" s="57" t="s">
        <v>2136</v>
      </c>
    </row>
    <row r="1402" spans="1:9" ht="33">
      <c r="A1402" s="238">
        <v>1400</v>
      </c>
      <c r="B1402" s="29" t="s">
        <v>1830</v>
      </c>
      <c r="C1402" s="26" t="s">
        <v>271</v>
      </c>
      <c r="D1402" s="260">
        <v>13</v>
      </c>
      <c r="E1402" s="273" t="s">
        <v>1914</v>
      </c>
      <c r="F1402" s="270">
        <v>314888</v>
      </c>
      <c r="G1402" s="162" t="s">
        <v>11</v>
      </c>
      <c r="H1402" s="4"/>
      <c r="I1402" s="57" t="s">
        <v>2136</v>
      </c>
    </row>
    <row r="1403" spans="1:9" ht="47.25">
      <c r="A1403" s="238">
        <v>1401</v>
      </c>
      <c r="B1403" s="29" t="s">
        <v>1830</v>
      </c>
      <c r="C1403" s="26" t="s">
        <v>178</v>
      </c>
      <c r="D1403" s="271">
        <v>3</v>
      </c>
      <c r="E1403" s="261" t="s">
        <v>1915</v>
      </c>
      <c r="F1403" s="272">
        <v>9071406</v>
      </c>
      <c r="G1403" s="162" t="s">
        <v>11</v>
      </c>
      <c r="H1403" s="4"/>
      <c r="I1403" s="57" t="s">
        <v>2136</v>
      </c>
    </row>
    <row r="1404" spans="1:9" ht="63">
      <c r="A1404" s="238">
        <v>1402</v>
      </c>
      <c r="B1404" s="29" t="s">
        <v>1830</v>
      </c>
      <c r="C1404" s="26" t="s">
        <v>797</v>
      </c>
      <c r="D1404" s="260">
        <v>23</v>
      </c>
      <c r="E1404" s="261" t="s">
        <v>1916</v>
      </c>
      <c r="F1404" s="272">
        <v>148275961</v>
      </c>
      <c r="G1404" s="162" t="s">
        <v>11</v>
      </c>
      <c r="H1404" s="4"/>
      <c r="I1404" s="57" t="s">
        <v>2136</v>
      </c>
    </row>
    <row r="1405" spans="1:9" ht="33">
      <c r="A1405" s="238">
        <v>1403</v>
      </c>
      <c r="B1405" s="29" t="s">
        <v>1830</v>
      </c>
      <c r="C1405" s="26" t="s">
        <v>37</v>
      </c>
      <c r="D1405" s="260" t="s">
        <v>1917</v>
      </c>
      <c r="E1405" s="273" t="s">
        <v>1918</v>
      </c>
      <c r="F1405" s="272">
        <v>496829</v>
      </c>
      <c r="G1405" s="162" t="s">
        <v>11</v>
      </c>
      <c r="H1405" s="4"/>
      <c r="I1405" s="57" t="s">
        <v>2136</v>
      </c>
    </row>
    <row r="1406" spans="1:9" ht="47.25">
      <c r="A1406" s="238">
        <v>1404</v>
      </c>
      <c r="B1406" s="29" t="s">
        <v>1830</v>
      </c>
      <c r="C1406" s="26" t="s">
        <v>37</v>
      </c>
      <c r="D1406" s="260" t="s">
        <v>1919</v>
      </c>
      <c r="E1406" s="273" t="s">
        <v>1920</v>
      </c>
      <c r="F1406" s="274">
        <v>158252524</v>
      </c>
      <c r="G1406" s="162" t="s">
        <v>11</v>
      </c>
      <c r="H1406" s="4"/>
      <c r="I1406" s="57" t="s">
        <v>2136</v>
      </c>
    </row>
    <row r="1407" spans="1:9" ht="33">
      <c r="A1407" s="238">
        <v>1405</v>
      </c>
      <c r="B1407" s="29" t="s">
        <v>1830</v>
      </c>
      <c r="C1407" s="26" t="s">
        <v>37</v>
      </c>
      <c r="D1407" s="260">
        <v>47</v>
      </c>
      <c r="E1407" s="273" t="s">
        <v>1921</v>
      </c>
      <c r="F1407" s="272">
        <v>2405808</v>
      </c>
      <c r="G1407" s="162" t="s">
        <v>11</v>
      </c>
      <c r="H1407" s="4"/>
      <c r="I1407" s="57" t="s">
        <v>2136</v>
      </c>
    </row>
    <row r="1408" spans="1:9" ht="94.5">
      <c r="A1408" s="238">
        <v>1406</v>
      </c>
      <c r="B1408" s="29" t="s">
        <v>1830</v>
      </c>
      <c r="C1408" s="26" t="s">
        <v>9</v>
      </c>
      <c r="D1408" s="260">
        <v>11</v>
      </c>
      <c r="E1408" s="261" t="s">
        <v>1922</v>
      </c>
      <c r="F1408" s="275">
        <v>28994108</v>
      </c>
      <c r="G1408" s="162" t="s">
        <v>11</v>
      </c>
      <c r="H1408" s="4"/>
      <c r="I1408" s="57" t="s">
        <v>2136</v>
      </c>
    </row>
    <row r="1409" spans="1:9" ht="78.75">
      <c r="A1409" s="238">
        <v>1407</v>
      </c>
      <c r="B1409" s="29" t="s">
        <v>1830</v>
      </c>
      <c r="C1409" s="26" t="s">
        <v>9</v>
      </c>
      <c r="D1409" s="260">
        <v>12</v>
      </c>
      <c r="E1409" s="261" t="s">
        <v>1923</v>
      </c>
      <c r="F1409" s="276">
        <v>608999886</v>
      </c>
      <c r="G1409" s="162" t="s">
        <v>11</v>
      </c>
      <c r="H1409" s="4"/>
      <c r="I1409" s="57" t="s">
        <v>2136</v>
      </c>
    </row>
    <row r="1410" spans="1:9" ht="63">
      <c r="A1410" s="238">
        <v>1408</v>
      </c>
      <c r="B1410" s="29" t="s">
        <v>1830</v>
      </c>
      <c r="C1410" s="26" t="s">
        <v>9</v>
      </c>
      <c r="D1410" s="260">
        <v>13.3</v>
      </c>
      <c r="E1410" s="261" t="s">
        <v>1924</v>
      </c>
      <c r="F1410" s="275">
        <v>16764000</v>
      </c>
      <c r="G1410" s="162" t="s">
        <v>11</v>
      </c>
      <c r="H1410" s="4"/>
      <c r="I1410" s="57" t="s">
        <v>2136</v>
      </c>
    </row>
    <row r="1411" spans="1:9" ht="63">
      <c r="A1411" s="238">
        <v>1409</v>
      </c>
      <c r="B1411" s="29" t="s">
        <v>1830</v>
      </c>
      <c r="C1411" s="26" t="s">
        <v>9</v>
      </c>
      <c r="D1411" s="260">
        <v>16</v>
      </c>
      <c r="E1411" s="261" t="s">
        <v>1925</v>
      </c>
      <c r="F1411" s="275">
        <v>6600000</v>
      </c>
      <c r="G1411" s="162" t="s">
        <v>11</v>
      </c>
      <c r="H1411" s="4"/>
      <c r="I1411" s="57" t="s">
        <v>2136</v>
      </c>
    </row>
    <row r="1412" spans="1:9" ht="78.75">
      <c r="A1412" s="238">
        <v>1410</v>
      </c>
      <c r="B1412" s="29" t="s">
        <v>1830</v>
      </c>
      <c r="C1412" s="26" t="s">
        <v>9</v>
      </c>
      <c r="D1412" s="260">
        <v>17</v>
      </c>
      <c r="E1412" s="261" t="s">
        <v>1926</v>
      </c>
      <c r="F1412" s="275">
        <v>4368614</v>
      </c>
      <c r="G1412" s="162" t="s">
        <v>11</v>
      </c>
      <c r="H1412" s="4"/>
      <c r="I1412" s="57" t="s">
        <v>2136</v>
      </c>
    </row>
    <row r="1413" spans="1:9" ht="63">
      <c r="A1413" s="238">
        <v>1411</v>
      </c>
      <c r="B1413" s="29" t="s">
        <v>1830</v>
      </c>
      <c r="C1413" s="26" t="s">
        <v>9</v>
      </c>
      <c r="D1413" s="260">
        <v>18</v>
      </c>
      <c r="E1413" s="261" t="s">
        <v>1927</v>
      </c>
      <c r="F1413" s="275">
        <v>3865456</v>
      </c>
      <c r="G1413" s="162" t="s">
        <v>11</v>
      </c>
      <c r="H1413" s="4"/>
      <c r="I1413" s="57" t="s">
        <v>2136</v>
      </c>
    </row>
    <row r="1414" spans="1:9" ht="63">
      <c r="A1414" s="238">
        <v>1412</v>
      </c>
      <c r="B1414" s="29" t="s">
        <v>1830</v>
      </c>
      <c r="C1414" s="26" t="s">
        <v>9</v>
      </c>
      <c r="D1414" s="260">
        <v>19</v>
      </c>
      <c r="E1414" s="261" t="s">
        <v>1928</v>
      </c>
      <c r="F1414" s="275">
        <v>1093014</v>
      </c>
      <c r="G1414" s="162" t="s">
        <v>11</v>
      </c>
      <c r="H1414" s="4"/>
      <c r="I1414" s="57" t="s">
        <v>2136</v>
      </c>
    </row>
    <row r="1415" spans="1:9" ht="78.75">
      <c r="A1415" s="238">
        <v>1413</v>
      </c>
      <c r="B1415" s="29" t="s">
        <v>1830</v>
      </c>
      <c r="C1415" s="26" t="s">
        <v>9</v>
      </c>
      <c r="D1415" s="260">
        <v>35.020000000000003</v>
      </c>
      <c r="E1415" s="261" t="s">
        <v>1929</v>
      </c>
      <c r="F1415" s="275">
        <v>20122524</v>
      </c>
      <c r="G1415" s="162" t="s">
        <v>11</v>
      </c>
      <c r="H1415" s="4"/>
      <c r="I1415" s="57" t="s">
        <v>2136</v>
      </c>
    </row>
    <row r="1416" spans="1:9" ht="47.25">
      <c r="A1416" s="238">
        <v>1414</v>
      </c>
      <c r="B1416" s="29" t="s">
        <v>1830</v>
      </c>
      <c r="C1416" s="26" t="s">
        <v>9</v>
      </c>
      <c r="D1416" s="260">
        <v>4103</v>
      </c>
      <c r="E1416" s="261" t="s">
        <v>1930</v>
      </c>
      <c r="F1416" s="275">
        <v>301146</v>
      </c>
      <c r="G1416" s="162" t="s">
        <v>11</v>
      </c>
      <c r="H1416" s="4"/>
      <c r="I1416" s="57" t="s">
        <v>2136</v>
      </c>
    </row>
    <row r="1417" spans="1:9" ht="78.75">
      <c r="A1417" s="238">
        <v>1415</v>
      </c>
      <c r="B1417" s="29" t="s">
        <v>1830</v>
      </c>
      <c r="C1417" s="26" t="s">
        <v>13</v>
      </c>
      <c r="D1417" s="260">
        <v>2.5</v>
      </c>
      <c r="E1417" s="273" t="s">
        <v>604</v>
      </c>
      <c r="F1417" s="274">
        <v>657903796</v>
      </c>
      <c r="G1417" s="162" t="s">
        <v>11</v>
      </c>
      <c r="H1417" s="4"/>
      <c r="I1417" s="57" t="s">
        <v>2136</v>
      </c>
    </row>
    <row r="1418" spans="1:9" ht="47.25">
      <c r="A1418" s="238">
        <v>1416</v>
      </c>
      <c r="B1418" s="29" t="s">
        <v>1830</v>
      </c>
      <c r="C1418" s="26" t="s">
        <v>13</v>
      </c>
      <c r="D1418" s="262">
        <v>8</v>
      </c>
      <c r="E1418" s="315" t="s">
        <v>1931</v>
      </c>
      <c r="F1418" s="274">
        <v>2125807465</v>
      </c>
      <c r="G1418" s="162" t="s">
        <v>11</v>
      </c>
      <c r="H1418" s="4"/>
      <c r="I1418" s="57" t="s">
        <v>2136</v>
      </c>
    </row>
    <row r="1419" spans="1:9" ht="63">
      <c r="A1419" s="238">
        <v>1417</v>
      </c>
      <c r="B1419" s="29" t="s">
        <v>1830</v>
      </c>
      <c r="C1419" s="26" t="s">
        <v>13</v>
      </c>
      <c r="D1419" s="262">
        <v>10</v>
      </c>
      <c r="E1419" s="315" t="s">
        <v>1932</v>
      </c>
      <c r="F1419" s="272">
        <v>13492177</v>
      </c>
      <c r="G1419" s="162" t="s">
        <v>11</v>
      </c>
      <c r="H1419" s="4"/>
      <c r="I1419" s="57" t="s">
        <v>2136</v>
      </c>
    </row>
    <row r="1420" spans="1:9" ht="33">
      <c r="A1420" s="238">
        <v>1418</v>
      </c>
      <c r="B1420" s="29" t="s">
        <v>1830</v>
      </c>
      <c r="C1420" s="26" t="s">
        <v>13</v>
      </c>
      <c r="D1420" s="262">
        <v>14</v>
      </c>
      <c r="E1420" s="315" t="s">
        <v>1933</v>
      </c>
      <c r="F1420" s="272">
        <v>691148775</v>
      </c>
      <c r="G1420" s="162" t="s">
        <v>11</v>
      </c>
      <c r="H1420" s="4"/>
      <c r="I1420" s="57" t="s">
        <v>2136</v>
      </c>
    </row>
    <row r="1421" spans="1:9" ht="63">
      <c r="A1421" s="238">
        <v>1419</v>
      </c>
      <c r="B1421" s="29" t="s">
        <v>1830</v>
      </c>
      <c r="C1421" s="26" t="s">
        <v>13</v>
      </c>
      <c r="D1421" s="262">
        <v>15</v>
      </c>
      <c r="E1421" s="315" t="s">
        <v>1934</v>
      </c>
      <c r="F1421" s="274">
        <v>587308962</v>
      </c>
      <c r="G1421" s="162" t="s">
        <v>11</v>
      </c>
      <c r="H1421" s="4"/>
      <c r="I1421" s="57" t="s">
        <v>2136</v>
      </c>
    </row>
    <row r="1422" spans="1:9" ht="33">
      <c r="A1422" s="238">
        <v>1420</v>
      </c>
      <c r="B1422" s="29" t="s">
        <v>1830</v>
      </c>
      <c r="C1422" s="26" t="s">
        <v>13</v>
      </c>
      <c r="D1422" s="262">
        <v>17</v>
      </c>
      <c r="E1422" s="315" t="s">
        <v>1935</v>
      </c>
      <c r="F1422" s="272">
        <v>7123601</v>
      </c>
      <c r="G1422" s="162" t="s">
        <v>11</v>
      </c>
      <c r="H1422" s="4"/>
      <c r="I1422" s="57" t="s">
        <v>2136</v>
      </c>
    </row>
    <row r="1423" spans="1:9" ht="63">
      <c r="A1423" s="238">
        <v>1421</v>
      </c>
      <c r="B1423" s="29" t="s">
        <v>1830</v>
      </c>
      <c r="C1423" s="26" t="s">
        <v>13</v>
      </c>
      <c r="D1423" s="262">
        <v>37</v>
      </c>
      <c r="E1423" s="315" t="s">
        <v>1936</v>
      </c>
      <c r="F1423" s="272">
        <v>7447620</v>
      </c>
      <c r="G1423" s="162" t="s">
        <v>11</v>
      </c>
      <c r="H1423" s="4"/>
      <c r="I1423" s="57" t="s">
        <v>2136</v>
      </c>
    </row>
    <row r="1424" spans="1:9" ht="110.25">
      <c r="A1424" s="238">
        <v>1422</v>
      </c>
      <c r="B1424" s="29" t="s">
        <v>1830</v>
      </c>
      <c r="C1424" s="263" t="s">
        <v>703</v>
      </c>
      <c r="D1424" s="264">
        <v>11</v>
      </c>
      <c r="E1424" s="316" t="s">
        <v>1937</v>
      </c>
      <c r="F1424" s="336">
        <v>397264731</v>
      </c>
      <c r="G1424" s="162" t="s">
        <v>11</v>
      </c>
      <c r="H1424" s="4"/>
      <c r="I1424" s="57" t="s">
        <v>2136</v>
      </c>
    </row>
    <row r="1425" spans="1:9" ht="78.75">
      <c r="A1425" s="238">
        <v>1423</v>
      </c>
      <c r="B1425" s="29" t="s">
        <v>1830</v>
      </c>
      <c r="C1425" s="263" t="s">
        <v>703</v>
      </c>
      <c r="D1425" s="264">
        <v>15</v>
      </c>
      <c r="E1425" s="316" t="s">
        <v>1938</v>
      </c>
      <c r="F1425" s="334">
        <v>172096800</v>
      </c>
      <c r="G1425" s="162" t="s">
        <v>11</v>
      </c>
      <c r="H1425" s="4"/>
      <c r="I1425" s="57" t="s">
        <v>2136</v>
      </c>
    </row>
    <row r="1426" spans="1:9" ht="63">
      <c r="A1426" s="238">
        <v>1424</v>
      </c>
      <c r="B1426" s="29" t="s">
        <v>1830</v>
      </c>
      <c r="C1426" s="263" t="s">
        <v>703</v>
      </c>
      <c r="D1426" s="264">
        <v>51</v>
      </c>
      <c r="E1426" s="316" t="s">
        <v>1939</v>
      </c>
      <c r="F1426" s="334">
        <v>43734000</v>
      </c>
      <c r="G1426" s="162" t="s">
        <v>11</v>
      </c>
      <c r="H1426" s="4"/>
      <c r="I1426" s="57" t="s">
        <v>2136</v>
      </c>
    </row>
    <row r="1427" spans="1:9" ht="78.75">
      <c r="A1427" s="238">
        <v>1425</v>
      </c>
      <c r="B1427" s="29" t="s">
        <v>1830</v>
      </c>
      <c r="C1427" s="263" t="s">
        <v>703</v>
      </c>
      <c r="D1427" s="264">
        <v>49.2</v>
      </c>
      <c r="E1427" s="316" t="s">
        <v>1940</v>
      </c>
      <c r="F1427" s="334">
        <v>224400000</v>
      </c>
      <c r="G1427" s="162" t="s">
        <v>11</v>
      </c>
      <c r="H1427" s="4"/>
      <c r="I1427" s="57" t="s">
        <v>2136</v>
      </c>
    </row>
    <row r="1428" spans="1:9" ht="78.75">
      <c r="A1428" s="238">
        <v>1426</v>
      </c>
      <c r="B1428" s="29" t="s">
        <v>1830</v>
      </c>
      <c r="C1428" s="263" t="s">
        <v>703</v>
      </c>
      <c r="D1428" s="264">
        <v>26</v>
      </c>
      <c r="E1428" s="316" t="s">
        <v>1941</v>
      </c>
      <c r="F1428" s="334">
        <v>15901836</v>
      </c>
      <c r="G1428" s="162" t="s">
        <v>11</v>
      </c>
      <c r="H1428" s="4"/>
      <c r="I1428" s="57" t="s">
        <v>2136</v>
      </c>
    </row>
    <row r="1429" spans="1:9" ht="63">
      <c r="A1429" s="238">
        <v>1427</v>
      </c>
      <c r="B1429" s="29" t="s">
        <v>1830</v>
      </c>
      <c r="C1429" s="265" t="s">
        <v>180</v>
      </c>
      <c r="D1429" s="277">
        <v>4</v>
      </c>
      <c r="E1429" s="317" t="s">
        <v>1942</v>
      </c>
      <c r="F1429" s="265" t="s">
        <v>1943</v>
      </c>
      <c r="G1429" s="162" t="s">
        <v>11</v>
      </c>
      <c r="H1429" s="4"/>
      <c r="I1429" s="57" t="s">
        <v>2136</v>
      </c>
    </row>
    <row r="1430" spans="1:9" ht="78.75">
      <c r="A1430" s="238">
        <v>1428</v>
      </c>
      <c r="B1430" s="29" t="s">
        <v>1830</v>
      </c>
      <c r="C1430" s="265" t="s">
        <v>180</v>
      </c>
      <c r="D1430" s="277">
        <v>6</v>
      </c>
      <c r="E1430" s="317" t="s">
        <v>1944</v>
      </c>
      <c r="F1430" s="265" t="s">
        <v>1945</v>
      </c>
      <c r="G1430" s="162" t="s">
        <v>11</v>
      </c>
      <c r="H1430" s="4"/>
      <c r="I1430" s="57" t="s">
        <v>2136</v>
      </c>
    </row>
    <row r="1431" spans="1:9" ht="110.25">
      <c r="A1431" s="238">
        <v>1429</v>
      </c>
      <c r="B1431" s="29" t="s">
        <v>1830</v>
      </c>
      <c r="C1431" s="278" t="s">
        <v>180</v>
      </c>
      <c r="D1431" s="279">
        <v>11</v>
      </c>
      <c r="E1431" s="318" t="s">
        <v>1946</v>
      </c>
      <c r="F1431" s="278" t="s">
        <v>1947</v>
      </c>
      <c r="G1431" s="162" t="s">
        <v>11</v>
      </c>
      <c r="H1431" s="4"/>
      <c r="I1431" s="57" t="s">
        <v>2136</v>
      </c>
    </row>
    <row r="1432" spans="1:9" ht="120">
      <c r="A1432" s="238">
        <v>1430</v>
      </c>
      <c r="B1432" s="29" t="s">
        <v>1830</v>
      </c>
      <c r="C1432" s="265" t="s">
        <v>180</v>
      </c>
      <c r="D1432" s="277">
        <v>12</v>
      </c>
      <c r="E1432" s="319" t="s">
        <v>1948</v>
      </c>
      <c r="F1432" s="265" t="s">
        <v>1949</v>
      </c>
      <c r="G1432" s="162" t="s">
        <v>11</v>
      </c>
      <c r="H1432" s="4"/>
      <c r="I1432" s="57" t="s">
        <v>2136</v>
      </c>
    </row>
    <row r="1433" spans="1:9" ht="78.75">
      <c r="A1433" s="238">
        <v>1431</v>
      </c>
      <c r="B1433" s="29" t="s">
        <v>1830</v>
      </c>
      <c r="C1433" s="265" t="s">
        <v>180</v>
      </c>
      <c r="D1433" s="277">
        <v>28</v>
      </c>
      <c r="E1433" s="317" t="s">
        <v>1950</v>
      </c>
      <c r="F1433" s="265" t="s">
        <v>1951</v>
      </c>
      <c r="G1433" s="162" t="s">
        <v>11</v>
      </c>
      <c r="H1433" s="4"/>
      <c r="I1433" s="57" t="s">
        <v>2136</v>
      </c>
    </row>
    <row r="1434" spans="1:9" ht="63">
      <c r="A1434" s="238">
        <v>1432</v>
      </c>
      <c r="B1434" s="29" t="s">
        <v>1830</v>
      </c>
      <c r="C1434" s="265" t="s">
        <v>180</v>
      </c>
      <c r="D1434" s="277">
        <v>29</v>
      </c>
      <c r="E1434" s="324" t="s">
        <v>1952</v>
      </c>
      <c r="F1434" s="265" t="s">
        <v>1953</v>
      </c>
      <c r="G1434" s="162" t="s">
        <v>11</v>
      </c>
      <c r="H1434" s="4"/>
      <c r="I1434" s="57" t="s">
        <v>2136</v>
      </c>
    </row>
    <row r="1435" spans="1:9" ht="120">
      <c r="A1435" s="238">
        <v>1433</v>
      </c>
      <c r="B1435" s="29" t="s">
        <v>1830</v>
      </c>
      <c r="C1435" s="265" t="s">
        <v>180</v>
      </c>
      <c r="D1435" s="277">
        <v>31</v>
      </c>
      <c r="E1435" s="319" t="s">
        <v>1954</v>
      </c>
      <c r="F1435" s="265" t="s">
        <v>1955</v>
      </c>
      <c r="G1435" s="162" t="s">
        <v>11</v>
      </c>
      <c r="H1435" s="4"/>
      <c r="I1435" s="57" t="s">
        <v>2136</v>
      </c>
    </row>
    <row r="1436" spans="1:9" ht="75">
      <c r="A1436" s="238">
        <v>1434</v>
      </c>
      <c r="B1436" s="29" t="s">
        <v>1830</v>
      </c>
      <c r="C1436" s="265" t="s">
        <v>180</v>
      </c>
      <c r="D1436" s="277">
        <v>35</v>
      </c>
      <c r="E1436" s="319" t="s">
        <v>1956</v>
      </c>
      <c r="F1436" s="265" t="s">
        <v>1957</v>
      </c>
      <c r="G1436" s="162" t="s">
        <v>11</v>
      </c>
      <c r="H1436" s="4"/>
      <c r="I1436" s="57" t="s">
        <v>2136</v>
      </c>
    </row>
    <row r="1437" spans="1:9" ht="165">
      <c r="A1437" s="238">
        <v>1435</v>
      </c>
      <c r="B1437" s="29" t="s">
        <v>1830</v>
      </c>
      <c r="C1437" s="265" t="s">
        <v>180</v>
      </c>
      <c r="D1437" s="280">
        <v>38.4</v>
      </c>
      <c r="E1437" s="319" t="s">
        <v>1958</v>
      </c>
      <c r="F1437" s="281">
        <v>1791625</v>
      </c>
      <c r="G1437" s="162" t="s">
        <v>11</v>
      </c>
      <c r="H1437" s="4"/>
      <c r="I1437" s="57" t="s">
        <v>2136</v>
      </c>
    </row>
    <row r="1438" spans="1:9" ht="105">
      <c r="A1438" s="238">
        <v>1436</v>
      </c>
      <c r="B1438" s="29" t="s">
        <v>1830</v>
      </c>
      <c r="C1438" s="265" t="s">
        <v>180</v>
      </c>
      <c r="D1438" s="277">
        <v>39</v>
      </c>
      <c r="E1438" s="319" t="s">
        <v>1959</v>
      </c>
      <c r="F1438" s="281">
        <v>4285626</v>
      </c>
      <c r="G1438" s="162" t="s">
        <v>11</v>
      </c>
      <c r="H1438" s="4"/>
      <c r="I1438" s="57" t="s">
        <v>2136</v>
      </c>
    </row>
    <row r="1439" spans="1:9" ht="47.25">
      <c r="A1439" s="238">
        <v>1437</v>
      </c>
      <c r="B1439" s="29" t="s">
        <v>1831</v>
      </c>
      <c r="C1439" s="26" t="s">
        <v>89</v>
      </c>
      <c r="D1439" s="260">
        <v>63</v>
      </c>
      <c r="E1439" s="261" t="s">
        <v>1960</v>
      </c>
      <c r="F1439" s="270">
        <v>7214653</v>
      </c>
      <c r="G1439" s="162" t="s">
        <v>11</v>
      </c>
      <c r="H1439" s="4"/>
      <c r="I1439" s="57" t="s">
        <v>2136</v>
      </c>
    </row>
    <row r="1440" spans="1:9" ht="47.25">
      <c r="A1440" s="238">
        <v>1438</v>
      </c>
      <c r="B1440" s="29" t="s">
        <v>1831</v>
      </c>
      <c r="C1440" s="26" t="s">
        <v>13</v>
      </c>
      <c r="D1440" s="260">
        <v>31</v>
      </c>
      <c r="E1440" s="261" t="s">
        <v>1961</v>
      </c>
      <c r="F1440" s="272">
        <v>135991</v>
      </c>
      <c r="G1440" s="162" t="s">
        <v>11</v>
      </c>
      <c r="H1440" s="4"/>
      <c r="I1440" s="57" t="s">
        <v>2136</v>
      </c>
    </row>
    <row r="1441" spans="1:9" ht="47.25">
      <c r="A1441" s="238">
        <v>1439</v>
      </c>
      <c r="B1441" s="29" t="s">
        <v>1831</v>
      </c>
      <c r="C1441" s="174" t="s">
        <v>703</v>
      </c>
      <c r="D1441" s="264">
        <v>54</v>
      </c>
      <c r="E1441" s="40" t="s">
        <v>1962</v>
      </c>
      <c r="F1441" s="337">
        <v>1163664</v>
      </c>
      <c r="G1441" s="162" t="s">
        <v>11</v>
      </c>
      <c r="H1441" s="4"/>
      <c r="I1441" s="57" t="s">
        <v>2136</v>
      </c>
    </row>
    <row r="1442" spans="1:9" ht="63">
      <c r="A1442" s="238">
        <v>1440</v>
      </c>
      <c r="B1442" s="29" t="s">
        <v>1831</v>
      </c>
      <c r="C1442" s="263" t="s">
        <v>703</v>
      </c>
      <c r="D1442" s="264">
        <v>47.2</v>
      </c>
      <c r="E1442" s="316" t="s">
        <v>1963</v>
      </c>
      <c r="F1442" s="334">
        <v>7289094</v>
      </c>
      <c r="G1442" s="162" t="s">
        <v>11</v>
      </c>
      <c r="H1442" s="4"/>
      <c r="I1442" s="57" t="s">
        <v>2136</v>
      </c>
    </row>
    <row r="1443" spans="1:9" ht="47.25">
      <c r="A1443" s="238">
        <v>1441</v>
      </c>
      <c r="B1443" s="42" t="s">
        <v>1831</v>
      </c>
      <c r="C1443" s="263" t="s">
        <v>703</v>
      </c>
      <c r="D1443" s="264">
        <v>47.1</v>
      </c>
      <c r="E1443" s="316" t="s">
        <v>1964</v>
      </c>
      <c r="F1443" s="334">
        <v>1505122</v>
      </c>
      <c r="G1443" s="162" t="s">
        <v>11</v>
      </c>
      <c r="H1443" s="4"/>
      <c r="I1443" s="57" t="s">
        <v>2136</v>
      </c>
    </row>
    <row r="1444" spans="1:9" ht="63">
      <c r="A1444" s="238">
        <v>1442</v>
      </c>
      <c r="B1444" s="329" t="s">
        <v>1965</v>
      </c>
      <c r="C1444" s="265" t="s">
        <v>180</v>
      </c>
      <c r="D1444" s="282">
        <v>14.2</v>
      </c>
      <c r="E1444" s="317" t="s">
        <v>1125</v>
      </c>
      <c r="F1444" s="283">
        <v>8380630</v>
      </c>
      <c r="G1444" s="162" t="s">
        <v>11</v>
      </c>
      <c r="H1444" s="4"/>
      <c r="I1444" s="57" t="s">
        <v>2136</v>
      </c>
    </row>
    <row r="1445" spans="1:9" ht="63">
      <c r="A1445" s="238">
        <v>1443</v>
      </c>
      <c r="B1445" s="329" t="s">
        <v>1965</v>
      </c>
      <c r="C1445" s="265" t="s">
        <v>180</v>
      </c>
      <c r="D1445" s="277">
        <v>79</v>
      </c>
      <c r="E1445" s="324" t="s">
        <v>1966</v>
      </c>
      <c r="F1445" s="283">
        <v>9704493</v>
      </c>
      <c r="G1445" s="162" t="s">
        <v>11</v>
      </c>
      <c r="H1445" s="4"/>
      <c r="I1445" s="57" t="s">
        <v>2136</v>
      </c>
    </row>
    <row r="1446" spans="1:9" ht="78.75">
      <c r="A1446" s="238">
        <v>1444</v>
      </c>
      <c r="B1446" s="329" t="s">
        <v>1965</v>
      </c>
      <c r="C1446" s="265" t="s">
        <v>180</v>
      </c>
      <c r="D1446" s="282">
        <v>88.7</v>
      </c>
      <c r="E1446" s="317" t="s">
        <v>1967</v>
      </c>
      <c r="F1446" s="13">
        <v>1815715</v>
      </c>
      <c r="G1446" s="162" t="s">
        <v>11</v>
      </c>
      <c r="H1446" s="4"/>
      <c r="I1446" s="57" t="s">
        <v>2136</v>
      </c>
    </row>
    <row r="1447" spans="1:9" ht="47.25">
      <c r="A1447" s="238">
        <v>1445</v>
      </c>
      <c r="B1447" s="29" t="s">
        <v>1831</v>
      </c>
      <c r="C1447" s="26" t="s">
        <v>13</v>
      </c>
      <c r="D1447" s="260">
        <v>47</v>
      </c>
      <c r="E1447" s="261" t="s">
        <v>1968</v>
      </c>
      <c r="F1447" s="272">
        <v>1687265</v>
      </c>
      <c r="G1447" s="162" t="s">
        <v>11</v>
      </c>
      <c r="H1447" s="4"/>
      <c r="I1447" s="57" t="s">
        <v>2136</v>
      </c>
    </row>
    <row r="1448" spans="1:9" ht="33">
      <c r="A1448" s="238">
        <v>1446</v>
      </c>
      <c r="B1448" s="29" t="s">
        <v>1832</v>
      </c>
      <c r="C1448" s="26" t="s">
        <v>269</v>
      </c>
      <c r="D1448" s="260">
        <v>3</v>
      </c>
      <c r="E1448" s="273" t="s">
        <v>1969</v>
      </c>
      <c r="F1448" s="270">
        <v>20221577</v>
      </c>
      <c r="G1448" s="162" t="s">
        <v>11</v>
      </c>
      <c r="H1448" s="4"/>
      <c r="I1448" s="57" t="s">
        <v>2136</v>
      </c>
    </row>
    <row r="1449" spans="1:9" ht="47.25">
      <c r="A1449" s="238">
        <v>1447</v>
      </c>
      <c r="B1449" s="29" t="s">
        <v>1832</v>
      </c>
      <c r="C1449" s="26" t="s">
        <v>13</v>
      </c>
      <c r="D1449" s="260">
        <v>16</v>
      </c>
      <c r="E1449" s="261" t="s">
        <v>1970</v>
      </c>
      <c r="F1449" s="272" t="s">
        <v>1971</v>
      </c>
      <c r="G1449" s="162" t="s">
        <v>11</v>
      </c>
      <c r="H1449" s="4"/>
      <c r="I1449" s="57" t="s">
        <v>2136</v>
      </c>
    </row>
    <row r="1450" spans="1:9" ht="33">
      <c r="A1450" s="238">
        <v>1448</v>
      </c>
      <c r="B1450" s="29" t="s">
        <v>1832</v>
      </c>
      <c r="C1450" s="26" t="s">
        <v>13</v>
      </c>
      <c r="D1450" s="260">
        <v>34</v>
      </c>
      <c r="E1450" s="261" t="s">
        <v>1972</v>
      </c>
      <c r="F1450" s="272" t="s">
        <v>1973</v>
      </c>
      <c r="G1450" s="162" t="s">
        <v>11</v>
      </c>
      <c r="H1450" s="4"/>
      <c r="I1450" s="57" t="s">
        <v>2136</v>
      </c>
    </row>
    <row r="1451" spans="1:9" ht="78.75">
      <c r="A1451" s="238">
        <v>1449</v>
      </c>
      <c r="B1451" s="29" t="s">
        <v>1832</v>
      </c>
      <c r="C1451" s="263" t="s">
        <v>703</v>
      </c>
      <c r="D1451" s="264">
        <v>42.6</v>
      </c>
      <c r="E1451" s="316" t="s">
        <v>1974</v>
      </c>
      <c r="F1451" s="334">
        <v>862409</v>
      </c>
      <c r="G1451" s="162" t="s">
        <v>11</v>
      </c>
      <c r="H1451" s="4"/>
      <c r="I1451" s="57" t="s">
        <v>2136</v>
      </c>
    </row>
    <row r="1452" spans="1:9" ht="94.5">
      <c r="A1452" s="238">
        <v>1450</v>
      </c>
      <c r="B1452" s="29" t="s">
        <v>1832</v>
      </c>
      <c r="C1452" s="263" t="s">
        <v>703</v>
      </c>
      <c r="D1452" s="264">
        <v>55</v>
      </c>
      <c r="E1452" s="316" t="s">
        <v>1975</v>
      </c>
      <c r="F1452" s="334">
        <v>10951577</v>
      </c>
      <c r="G1452" s="162" t="s">
        <v>11</v>
      </c>
      <c r="H1452" s="4"/>
      <c r="I1452" s="57" t="s">
        <v>2136</v>
      </c>
    </row>
    <row r="1453" spans="1:9" ht="63">
      <c r="A1453" s="238">
        <v>1451</v>
      </c>
      <c r="B1453" s="29" t="s">
        <v>1832</v>
      </c>
      <c r="C1453" s="265" t="s">
        <v>180</v>
      </c>
      <c r="D1453" s="266">
        <v>40</v>
      </c>
      <c r="E1453" s="317" t="s">
        <v>1976</v>
      </c>
      <c r="F1453" s="284" t="s">
        <v>1977</v>
      </c>
      <c r="G1453" s="162" t="s">
        <v>11</v>
      </c>
      <c r="H1453" s="4"/>
      <c r="I1453" s="57" t="s">
        <v>2136</v>
      </c>
    </row>
    <row r="1454" spans="1:9" ht="63">
      <c r="A1454" s="238">
        <v>1452</v>
      </c>
      <c r="B1454" s="29" t="s">
        <v>1832</v>
      </c>
      <c r="C1454" s="265" t="s">
        <v>180</v>
      </c>
      <c r="D1454" s="267">
        <v>98.3</v>
      </c>
      <c r="E1454" s="317" t="s">
        <v>1978</v>
      </c>
      <c r="F1454" s="265" t="s">
        <v>1979</v>
      </c>
      <c r="G1454" s="162" t="s">
        <v>11</v>
      </c>
      <c r="H1454" s="4"/>
      <c r="I1454" s="57" t="s">
        <v>2136</v>
      </c>
    </row>
    <row r="1455" spans="1:9" ht="78.75">
      <c r="A1455" s="238">
        <v>1453</v>
      </c>
      <c r="B1455" s="29" t="s">
        <v>1832</v>
      </c>
      <c r="C1455" s="265" t="s">
        <v>180</v>
      </c>
      <c r="D1455" s="266">
        <v>117</v>
      </c>
      <c r="E1455" s="317" t="s">
        <v>1980</v>
      </c>
      <c r="F1455" s="338">
        <v>80681</v>
      </c>
      <c r="G1455" s="162" t="s">
        <v>11</v>
      </c>
      <c r="H1455" s="4"/>
      <c r="I1455" s="57" t="s">
        <v>2136</v>
      </c>
    </row>
    <row r="1456" spans="1:9" ht="33">
      <c r="A1456" s="238">
        <v>1454</v>
      </c>
      <c r="B1456" s="242" t="s">
        <v>1981</v>
      </c>
      <c r="C1456" s="246" t="s">
        <v>1982</v>
      </c>
      <c r="D1456" s="247">
        <v>2</v>
      </c>
      <c r="E1456" s="314" t="s">
        <v>1983</v>
      </c>
      <c r="F1456" s="259">
        <v>27664</v>
      </c>
      <c r="G1456" s="162" t="s">
        <v>11</v>
      </c>
      <c r="H1456" s="4"/>
      <c r="I1456" s="57" t="s">
        <v>2136</v>
      </c>
    </row>
    <row r="1457" spans="1:9" ht="33">
      <c r="A1457" s="238">
        <v>1455</v>
      </c>
      <c r="B1457" s="242" t="s">
        <v>1981</v>
      </c>
      <c r="C1457" s="246" t="s">
        <v>534</v>
      </c>
      <c r="D1457" s="247">
        <v>2</v>
      </c>
      <c r="E1457" s="257" t="s">
        <v>1984</v>
      </c>
      <c r="F1457" s="249">
        <v>5670</v>
      </c>
      <c r="G1457" s="162" t="s">
        <v>11</v>
      </c>
      <c r="H1457" s="4"/>
      <c r="I1457" s="57" t="s">
        <v>2136</v>
      </c>
    </row>
    <row r="1458" spans="1:9" ht="78.75">
      <c r="A1458" s="238">
        <v>1456</v>
      </c>
      <c r="B1458" s="242" t="s">
        <v>1985</v>
      </c>
      <c r="C1458" s="246" t="s">
        <v>1986</v>
      </c>
      <c r="D1458" s="247" t="s">
        <v>1987</v>
      </c>
      <c r="E1458" s="314" t="s">
        <v>1988</v>
      </c>
      <c r="F1458" s="256">
        <v>120447200000</v>
      </c>
      <c r="G1458" s="162" t="s">
        <v>11</v>
      </c>
      <c r="H1458" s="4"/>
      <c r="I1458" s="57" t="s">
        <v>2136</v>
      </c>
    </row>
    <row r="1459" spans="1:9" ht="63">
      <c r="A1459" s="238">
        <v>1457</v>
      </c>
      <c r="B1459" s="242" t="s">
        <v>1834</v>
      </c>
      <c r="C1459" s="246" t="s">
        <v>13</v>
      </c>
      <c r="D1459" s="258">
        <v>4</v>
      </c>
      <c r="E1459" s="150" t="s">
        <v>1989</v>
      </c>
      <c r="F1459" s="285">
        <v>2450880000</v>
      </c>
      <c r="G1459" s="162" t="s">
        <v>11</v>
      </c>
      <c r="H1459" s="4"/>
      <c r="I1459" s="57" t="s">
        <v>2136</v>
      </c>
    </row>
    <row r="1460" spans="1:9" ht="94.5">
      <c r="A1460" s="238">
        <v>1458</v>
      </c>
      <c r="B1460" s="242" t="s">
        <v>1834</v>
      </c>
      <c r="C1460" s="246" t="s">
        <v>13</v>
      </c>
      <c r="D1460" s="247">
        <v>6</v>
      </c>
      <c r="E1460" s="150" t="s">
        <v>1990</v>
      </c>
      <c r="F1460" s="259">
        <v>28628010</v>
      </c>
      <c r="G1460" s="162" t="s">
        <v>11</v>
      </c>
      <c r="H1460" s="4"/>
      <c r="I1460" s="57" t="s">
        <v>2136</v>
      </c>
    </row>
    <row r="1461" spans="1:9" ht="78.75">
      <c r="A1461" s="238">
        <v>1459</v>
      </c>
      <c r="B1461" s="242" t="s">
        <v>1834</v>
      </c>
      <c r="C1461" s="246" t="s">
        <v>13</v>
      </c>
      <c r="D1461" s="258">
        <v>43</v>
      </c>
      <c r="E1461" s="314" t="s">
        <v>1991</v>
      </c>
      <c r="F1461" s="285">
        <v>139169994</v>
      </c>
      <c r="G1461" s="162" t="s">
        <v>11</v>
      </c>
      <c r="H1461" s="4"/>
      <c r="I1461" s="57" t="s">
        <v>2136</v>
      </c>
    </row>
    <row r="1462" spans="1:9" ht="126">
      <c r="A1462" s="238">
        <v>1460</v>
      </c>
      <c r="B1462" s="242" t="s">
        <v>1834</v>
      </c>
      <c r="C1462" s="246" t="s">
        <v>9</v>
      </c>
      <c r="D1462" s="247">
        <v>1</v>
      </c>
      <c r="E1462" s="257" t="s">
        <v>1992</v>
      </c>
      <c r="F1462" s="286">
        <v>1367615067</v>
      </c>
      <c r="G1462" s="162" t="s">
        <v>11</v>
      </c>
      <c r="H1462" s="4"/>
      <c r="I1462" s="57" t="s">
        <v>2136</v>
      </c>
    </row>
    <row r="1463" spans="1:9" ht="110.25">
      <c r="A1463" s="238">
        <v>1461</v>
      </c>
      <c r="B1463" s="242" t="s">
        <v>1834</v>
      </c>
      <c r="C1463" s="252" t="s">
        <v>703</v>
      </c>
      <c r="D1463" s="253">
        <v>4</v>
      </c>
      <c r="E1463" s="313" t="s">
        <v>1993</v>
      </c>
      <c r="F1463" s="339">
        <v>6466776895</v>
      </c>
      <c r="G1463" s="162" t="s">
        <v>11</v>
      </c>
      <c r="H1463" s="4"/>
      <c r="I1463" s="57" t="s">
        <v>2136</v>
      </c>
    </row>
    <row r="1464" spans="1:9" ht="78.75">
      <c r="A1464" s="238">
        <v>1462</v>
      </c>
      <c r="B1464" s="242" t="s">
        <v>1834</v>
      </c>
      <c r="C1464" s="252" t="s">
        <v>703</v>
      </c>
      <c r="D1464" s="253">
        <v>3</v>
      </c>
      <c r="E1464" s="313" t="s">
        <v>1994</v>
      </c>
      <c r="F1464" s="339">
        <v>18546942471</v>
      </c>
      <c r="G1464" s="162" t="s">
        <v>11</v>
      </c>
      <c r="H1464" s="4"/>
      <c r="I1464" s="57" t="s">
        <v>2136</v>
      </c>
    </row>
    <row r="1465" spans="1:9" ht="78.75">
      <c r="A1465" s="238">
        <v>1463</v>
      </c>
      <c r="B1465" s="242" t="s">
        <v>1834</v>
      </c>
      <c r="C1465" s="252" t="s">
        <v>703</v>
      </c>
      <c r="D1465" s="253">
        <v>6</v>
      </c>
      <c r="E1465" s="313" t="s">
        <v>1995</v>
      </c>
      <c r="F1465" s="332">
        <v>147752000</v>
      </c>
      <c r="G1465" s="162" t="s">
        <v>11</v>
      </c>
      <c r="H1465" s="4"/>
      <c r="I1465" s="57" t="s">
        <v>2136</v>
      </c>
    </row>
    <row r="1466" spans="1:9" ht="47.25">
      <c r="A1466" s="238">
        <v>1464</v>
      </c>
      <c r="B1466" s="242" t="s">
        <v>1834</v>
      </c>
      <c r="C1466" s="252" t="s">
        <v>703</v>
      </c>
      <c r="D1466" s="253">
        <v>37</v>
      </c>
      <c r="E1466" s="313" t="s">
        <v>1996</v>
      </c>
      <c r="F1466" s="340"/>
      <c r="G1466" s="162" t="s">
        <v>11</v>
      </c>
      <c r="H1466" s="4"/>
      <c r="I1466" s="57" t="s">
        <v>2136</v>
      </c>
    </row>
    <row r="1467" spans="1:9" ht="78.75">
      <c r="A1467" s="238">
        <v>1465</v>
      </c>
      <c r="B1467" s="242" t="s">
        <v>1834</v>
      </c>
      <c r="C1467" s="252" t="s">
        <v>703</v>
      </c>
      <c r="D1467" s="253">
        <v>2</v>
      </c>
      <c r="E1467" s="313" t="s">
        <v>1997</v>
      </c>
      <c r="F1467" s="339">
        <v>28523918799</v>
      </c>
      <c r="G1467" s="162" t="s">
        <v>11</v>
      </c>
      <c r="H1467" s="4"/>
      <c r="I1467" s="57" t="s">
        <v>2136</v>
      </c>
    </row>
    <row r="1468" spans="1:9" ht="110.25">
      <c r="A1468" s="238">
        <v>1466</v>
      </c>
      <c r="B1468" s="242" t="s">
        <v>1834</v>
      </c>
      <c r="C1468" s="252" t="s">
        <v>703</v>
      </c>
      <c r="D1468" s="253">
        <v>1</v>
      </c>
      <c r="E1468" s="313" t="s">
        <v>1998</v>
      </c>
      <c r="F1468" s="339">
        <v>77703006253</v>
      </c>
      <c r="G1468" s="162" t="s">
        <v>11</v>
      </c>
      <c r="H1468" s="4"/>
      <c r="I1468" s="57" t="s">
        <v>2136</v>
      </c>
    </row>
    <row r="1469" spans="1:9" ht="126">
      <c r="A1469" s="238">
        <v>1467</v>
      </c>
      <c r="B1469" s="330" t="s">
        <v>1999</v>
      </c>
      <c r="C1469" s="287" t="s">
        <v>180</v>
      </c>
      <c r="D1469" s="288">
        <v>1</v>
      </c>
      <c r="E1469" s="320" t="s">
        <v>2000</v>
      </c>
      <c r="F1469" s="290">
        <v>22187825308</v>
      </c>
      <c r="G1469" s="162" t="s">
        <v>11</v>
      </c>
      <c r="H1469" s="4"/>
      <c r="I1469" s="57" t="s">
        <v>2136</v>
      </c>
    </row>
    <row r="1470" spans="1:9" ht="99.75">
      <c r="A1470" s="238">
        <v>1468</v>
      </c>
      <c r="B1470" s="330" t="s">
        <v>1999</v>
      </c>
      <c r="C1470" s="287" t="s">
        <v>180</v>
      </c>
      <c r="D1470" s="288">
        <v>2</v>
      </c>
      <c r="E1470" s="321" t="s">
        <v>2001</v>
      </c>
      <c r="F1470" s="289">
        <v>235855142</v>
      </c>
      <c r="G1470" s="162" t="s">
        <v>11</v>
      </c>
      <c r="H1470" s="4"/>
      <c r="I1470" s="57" t="s">
        <v>2136</v>
      </c>
    </row>
    <row r="1471" spans="1:9" ht="99.75">
      <c r="A1471" s="238">
        <v>1469</v>
      </c>
      <c r="B1471" s="330" t="s">
        <v>1999</v>
      </c>
      <c r="C1471" s="287" t="s">
        <v>180</v>
      </c>
      <c r="D1471" s="288">
        <v>3</v>
      </c>
      <c r="E1471" s="321" t="s">
        <v>2002</v>
      </c>
      <c r="F1471" s="290">
        <v>28347006656</v>
      </c>
      <c r="G1471" s="162" t="s">
        <v>11</v>
      </c>
      <c r="H1471" s="4"/>
      <c r="I1471" s="57" t="s">
        <v>2136</v>
      </c>
    </row>
    <row r="1472" spans="1:9" ht="128.25">
      <c r="A1472" s="238">
        <v>1470</v>
      </c>
      <c r="B1472" s="330" t="s">
        <v>1999</v>
      </c>
      <c r="C1472" s="287" t="s">
        <v>180</v>
      </c>
      <c r="D1472" s="288">
        <v>5</v>
      </c>
      <c r="E1472" s="321" t="s">
        <v>2003</v>
      </c>
      <c r="F1472" s="289">
        <v>76117271998</v>
      </c>
      <c r="G1472" s="162" t="s">
        <v>11</v>
      </c>
      <c r="H1472" s="4"/>
      <c r="I1472" s="57" t="s">
        <v>2136</v>
      </c>
    </row>
    <row r="1473" spans="1:9" ht="85.5">
      <c r="A1473" s="238">
        <v>1471</v>
      </c>
      <c r="B1473" s="330" t="s">
        <v>1999</v>
      </c>
      <c r="C1473" s="287" t="s">
        <v>180</v>
      </c>
      <c r="D1473" s="288">
        <v>7</v>
      </c>
      <c r="E1473" s="321" t="s">
        <v>2004</v>
      </c>
      <c r="F1473" s="341">
        <v>396751174</v>
      </c>
      <c r="G1473" s="162" t="s">
        <v>11</v>
      </c>
      <c r="H1473" s="4"/>
      <c r="I1473" s="57" t="s">
        <v>2136</v>
      </c>
    </row>
    <row r="1474" spans="1:9" ht="85.5">
      <c r="A1474" s="238">
        <v>1472</v>
      </c>
      <c r="B1474" s="330" t="s">
        <v>1999</v>
      </c>
      <c r="C1474" s="287" t="s">
        <v>180</v>
      </c>
      <c r="D1474" s="288">
        <v>22</v>
      </c>
      <c r="E1474" s="321" t="s">
        <v>2005</v>
      </c>
      <c r="F1474" s="290">
        <v>32322504777</v>
      </c>
      <c r="G1474" s="162" t="s">
        <v>11</v>
      </c>
      <c r="H1474" s="4"/>
      <c r="I1474" s="57" t="s">
        <v>2136</v>
      </c>
    </row>
    <row r="1475" spans="1:9" ht="57">
      <c r="A1475" s="238">
        <v>1473</v>
      </c>
      <c r="B1475" s="330" t="s">
        <v>1999</v>
      </c>
      <c r="C1475" s="287" t="s">
        <v>180</v>
      </c>
      <c r="D1475" s="288">
        <v>23</v>
      </c>
      <c r="E1475" s="321" t="s">
        <v>2006</v>
      </c>
      <c r="F1475" s="289">
        <v>206112000</v>
      </c>
      <c r="G1475" s="162" t="s">
        <v>11</v>
      </c>
      <c r="H1475" s="4"/>
      <c r="I1475" s="57" t="s">
        <v>2136</v>
      </c>
    </row>
    <row r="1476" spans="1:9" ht="171">
      <c r="A1476" s="238">
        <v>1474</v>
      </c>
      <c r="B1476" s="330" t="s">
        <v>1999</v>
      </c>
      <c r="C1476" s="287" t="s">
        <v>180</v>
      </c>
      <c r="D1476" s="288">
        <v>30</v>
      </c>
      <c r="E1476" s="321" t="s">
        <v>2007</v>
      </c>
      <c r="F1476" s="342"/>
      <c r="G1476" s="162" t="s">
        <v>11</v>
      </c>
      <c r="H1476" s="4"/>
      <c r="I1476" s="57" t="s">
        <v>2136</v>
      </c>
    </row>
    <row r="1477" spans="1:9" ht="114">
      <c r="A1477" s="238">
        <v>1475</v>
      </c>
      <c r="B1477" s="330" t="s">
        <v>1999</v>
      </c>
      <c r="C1477" s="287" t="s">
        <v>180</v>
      </c>
      <c r="D1477" s="288">
        <v>32</v>
      </c>
      <c r="E1477" s="321" t="s">
        <v>2008</v>
      </c>
      <c r="F1477" s="343">
        <v>5106063126</v>
      </c>
      <c r="G1477" s="162" t="s">
        <v>11</v>
      </c>
      <c r="H1477" s="4"/>
      <c r="I1477" s="57" t="s">
        <v>2136</v>
      </c>
    </row>
    <row r="1478" spans="1:9" ht="71.25">
      <c r="A1478" s="238">
        <v>1476</v>
      </c>
      <c r="B1478" s="330" t="s">
        <v>1999</v>
      </c>
      <c r="C1478" s="287" t="s">
        <v>180</v>
      </c>
      <c r="D1478" s="288">
        <v>41</v>
      </c>
      <c r="E1478" s="321" t="s">
        <v>2009</v>
      </c>
      <c r="F1478" s="289">
        <v>4850907310</v>
      </c>
      <c r="G1478" s="162" t="s">
        <v>11</v>
      </c>
      <c r="H1478" s="4"/>
      <c r="I1478" s="57" t="s">
        <v>2136</v>
      </c>
    </row>
    <row r="1479" spans="1:9" ht="57">
      <c r="A1479" s="238">
        <v>1477</v>
      </c>
      <c r="B1479" s="330" t="s">
        <v>1999</v>
      </c>
      <c r="C1479" s="287" t="s">
        <v>180</v>
      </c>
      <c r="D1479" s="288">
        <v>44</v>
      </c>
      <c r="E1479" s="321" t="s">
        <v>2010</v>
      </c>
      <c r="F1479" s="289">
        <v>223073340</v>
      </c>
      <c r="G1479" s="162" t="s">
        <v>11</v>
      </c>
      <c r="H1479" s="4"/>
      <c r="I1479" s="57" t="s">
        <v>2136</v>
      </c>
    </row>
    <row r="1480" spans="1:9" ht="49.5">
      <c r="A1480" s="238">
        <v>1478</v>
      </c>
      <c r="B1480" s="242" t="s">
        <v>2011</v>
      </c>
      <c r="C1480" s="246" t="s">
        <v>2012</v>
      </c>
      <c r="D1480" s="247">
        <v>1</v>
      </c>
      <c r="E1480" s="257" t="s">
        <v>2013</v>
      </c>
      <c r="F1480" s="249">
        <v>45645622</v>
      </c>
      <c r="G1480" s="162" t="s">
        <v>11</v>
      </c>
      <c r="H1480" s="4"/>
      <c r="I1480" s="57" t="s">
        <v>2136</v>
      </c>
    </row>
    <row r="1481" spans="1:9" ht="63">
      <c r="A1481" s="238">
        <v>1479</v>
      </c>
      <c r="B1481" s="242" t="s">
        <v>1835</v>
      </c>
      <c r="C1481" s="246" t="s">
        <v>462</v>
      </c>
      <c r="D1481" s="247">
        <v>1</v>
      </c>
      <c r="E1481" s="257" t="s">
        <v>2014</v>
      </c>
      <c r="F1481" s="249">
        <v>1776146</v>
      </c>
      <c r="G1481" s="162" t="s">
        <v>11</v>
      </c>
      <c r="H1481" s="4"/>
      <c r="I1481" s="57" t="s">
        <v>2136</v>
      </c>
    </row>
    <row r="1482" spans="1:9" ht="49.5">
      <c r="A1482" s="238">
        <v>1480</v>
      </c>
      <c r="B1482" s="242" t="s">
        <v>1835</v>
      </c>
      <c r="C1482" s="246" t="s">
        <v>462</v>
      </c>
      <c r="D1482" s="247">
        <v>3</v>
      </c>
      <c r="E1482" s="257" t="s">
        <v>2015</v>
      </c>
      <c r="F1482" s="249">
        <v>8149516</v>
      </c>
      <c r="G1482" s="162" t="s">
        <v>11</v>
      </c>
      <c r="H1482" s="4"/>
      <c r="I1482" s="57" t="s">
        <v>2136</v>
      </c>
    </row>
    <row r="1483" spans="1:9" ht="63">
      <c r="A1483" s="238">
        <v>1481</v>
      </c>
      <c r="B1483" s="242" t="s">
        <v>1835</v>
      </c>
      <c r="C1483" s="246" t="s">
        <v>462</v>
      </c>
      <c r="D1483" s="247">
        <v>4</v>
      </c>
      <c r="E1483" s="257" t="s">
        <v>2016</v>
      </c>
      <c r="F1483" s="249">
        <v>1680240</v>
      </c>
      <c r="G1483" s="162" t="s">
        <v>11</v>
      </c>
      <c r="H1483" s="4"/>
      <c r="I1483" s="57" t="s">
        <v>2136</v>
      </c>
    </row>
    <row r="1484" spans="1:9" ht="78.75">
      <c r="A1484" s="238">
        <v>1482</v>
      </c>
      <c r="B1484" s="242" t="s">
        <v>1835</v>
      </c>
      <c r="C1484" s="246" t="s">
        <v>462</v>
      </c>
      <c r="D1484" s="247">
        <v>6</v>
      </c>
      <c r="E1484" s="257" t="s">
        <v>2017</v>
      </c>
      <c r="F1484" s="249">
        <v>3116688</v>
      </c>
      <c r="G1484" s="162" t="s">
        <v>11</v>
      </c>
      <c r="H1484" s="4"/>
      <c r="I1484" s="57" t="s">
        <v>2136</v>
      </c>
    </row>
    <row r="1485" spans="1:9" ht="82.5">
      <c r="A1485" s="238">
        <v>1483</v>
      </c>
      <c r="B1485" s="242" t="s">
        <v>1847</v>
      </c>
      <c r="C1485" s="246" t="s">
        <v>1106</v>
      </c>
      <c r="D1485" s="247">
        <v>8</v>
      </c>
      <c r="E1485" s="257" t="s">
        <v>2018</v>
      </c>
      <c r="F1485" s="249">
        <v>224931</v>
      </c>
      <c r="G1485" s="162" t="s">
        <v>11</v>
      </c>
      <c r="H1485" s="4"/>
      <c r="I1485" s="57" t="s">
        <v>2136</v>
      </c>
    </row>
    <row r="1486" spans="1:9" ht="49.5">
      <c r="A1486" s="238">
        <v>1484</v>
      </c>
      <c r="B1486" s="242" t="s">
        <v>2019</v>
      </c>
      <c r="C1486" s="246" t="s">
        <v>1859</v>
      </c>
      <c r="D1486" s="247">
        <v>7</v>
      </c>
      <c r="E1486" s="257" t="s">
        <v>2020</v>
      </c>
      <c r="F1486" s="249">
        <v>694500</v>
      </c>
      <c r="G1486" s="162" t="s">
        <v>11</v>
      </c>
      <c r="H1486" s="4"/>
      <c r="I1486" s="57" t="s">
        <v>2136</v>
      </c>
    </row>
    <row r="1487" spans="1:9" ht="63">
      <c r="A1487" s="238">
        <v>1485</v>
      </c>
      <c r="B1487" s="242" t="s">
        <v>2019</v>
      </c>
      <c r="C1487" s="246" t="s">
        <v>277</v>
      </c>
      <c r="D1487" s="247">
        <v>1</v>
      </c>
      <c r="E1487" s="257" t="s">
        <v>2021</v>
      </c>
      <c r="F1487" s="249">
        <v>633600</v>
      </c>
      <c r="G1487" s="162" t="s">
        <v>11</v>
      </c>
      <c r="H1487" s="4"/>
      <c r="I1487" s="57" t="s">
        <v>2136</v>
      </c>
    </row>
    <row r="1488" spans="1:9" ht="49.5">
      <c r="A1488" s="238">
        <v>1486</v>
      </c>
      <c r="B1488" s="242" t="s">
        <v>2019</v>
      </c>
      <c r="C1488" s="246" t="s">
        <v>254</v>
      </c>
      <c r="D1488" s="247">
        <v>6</v>
      </c>
      <c r="E1488" s="257" t="s">
        <v>2022</v>
      </c>
      <c r="F1488" s="249">
        <v>37375</v>
      </c>
      <c r="G1488" s="162" t="s">
        <v>11</v>
      </c>
      <c r="H1488" s="4"/>
      <c r="I1488" s="57" t="s">
        <v>2136</v>
      </c>
    </row>
    <row r="1489" spans="1:9" ht="63">
      <c r="A1489" s="238">
        <v>1487</v>
      </c>
      <c r="B1489" s="242" t="s">
        <v>2019</v>
      </c>
      <c r="C1489" s="246" t="s">
        <v>137</v>
      </c>
      <c r="D1489" s="247">
        <v>4</v>
      </c>
      <c r="E1489" s="257" t="s">
        <v>2023</v>
      </c>
      <c r="F1489" s="249">
        <v>2542370</v>
      </c>
      <c r="G1489" s="162" t="s">
        <v>11</v>
      </c>
      <c r="H1489" s="4"/>
      <c r="I1489" s="57" t="s">
        <v>2136</v>
      </c>
    </row>
    <row r="1490" spans="1:9" ht="49.5">
      <c r="A1490" s="238">
        <v>1488</v>
      </c>
      <c r="B1490" s="242" t="s">
        <v>2019</v>
      </c>
      <c r="C1490" s="246" t="s">
        <v>137</v>
      </c>
      <c r="D1490" s="247">
        <v>9</v>
      </c>
      <c r="E1490" s="257" t="s">
        <v>2024</v>
      </c>
      <c r="F1490" s="249">
        <v>2310028651</v>
      </c>
      <c r="G1490" s="162" t="s">
        <v>11</v>
      </c>
      <c r="H1490" s="4"/>
      <c r="I1490" s="57" t="s">
        <v>2136</v>
      </c>
    </row>
    <row r="1491" spans="1:9" ht="49.5">
      <c r="A1491" s="238">
        <v>1489</v>
      </c>
      <c r="B1491" s="242" t="s">
        <v>2019</v>
      </c>
      <c r="C1491" s="246" t="s">
        <v>137</v>
      </c>
      <c r="D1491" s="247">
        <v>13</v>
      </c>
      <c r="E1491" s="257" t="s">
        <v>2025</v>
      </c>
      <c r="F1491" s="249">
        <v>7031896</v>
      </c>
      <c r="G1491" s="162" t="s">
        <v>11</v>
      </c>
      <c r="H1491" s="4"/>
      <c r="I1491" s="57" t="s">
        <v>2136</v>
      </c>
    </row>
    <row r="1492" spans="1:9" ht="33">
      <c r="A1492" s="238">
        <v>1490</v>
      </c>
      <c r="B1492" s="242" t="s">
        <v>1836</v>
      </c>
      <c r="C1492" s="246" t="s">
        <v>447</v>
      </c>
      <c r="D1492" s="247">
        <v>2</v>
      </c>
      <c r="E1492" s="257" t="s">
        <v>2026</v>
      </c>
      <c r="F1492" s="249">
        <v>312903</v>
      </c>
      <c r="G1492" s="162" t="s">
        <v>11</v>
      </c>
      <c r="H1492" s="4"/>
      <c r="I1492" s="57" t="s">
        <v>2136</v>
      </c>
    </row>
    <row r="1493" spans="1:9" ht="33">
      <c r="A1493" s="238">
        <v>1491</v>
      </c>
      <c r="B1493" s="242" t="s">
        <v>1836</v>
      </c>
      <c r="C1493" s="246" t="s">
        <v>1132</v>
      </c>
      <c r="D1493" s="247">
        <v>4</v>
      </c>
      <c r="E1493" s="257" t="s">
        <v>2027</v>
      </c>
      <c r="F1493" s="249">
        <v>205797</v>
      </c>
      <c r="G1493" s="162" t="s">
        <v>11</v>
      </c>
      <c r="H1493" s="4"/>
      <c r="I1493" s="57" t="s">
        <v>2136</v>
      </c>
    </row>
    <row r="1494" spans="1:9" ht="47.25">
      <c r="A1494" s="238">
        <v>1492</v>
      </c>
      <c r="B1494" s="242" t="s">
        <v>1837</v>
      </c>
      <c r="C1494" s="246" t="s">
        <v>447</v>
      </c>
      <c r="D1494" s="247">
        <v>2</v>
      </c>
      <c r="E1494" s="257" t="s">
        <v>2028</v>
      </c>
      <c r="F1494" s="291">
        <v>128557</v>
      </c>
      <c r="G1494" s="162" t="s">
        <v>11</v>
      </c>
      <c r="H1494" s="4"/>
      <c r="I1494" s="57" t="s">
        <v>2136</v>
      </c>
    </row>
    <row r="1495" spans="1:9" ht="63">
      <c r="A1495" s="238">
        <v>1493</v>
      </c>
      <c r="B1495" s="242" t="s">
        <v>1837</v>
      </c>
      <c r="C1495" s="246" t="s">
        <v>2029</v>
      </c>
      <c r="D1495" s="247">
        <v>2</v>
      </c>
      <c r="E1495" s="257" t="s">
        <v>2030</v>
      </c>
      <c r="F1495" s="291">
        <v>1837600</v>
      </c>
      <c r="G1495" s="162" t="s">
        <v>11</v>
      </c>
      <c r="H1495" s="4"/>
      <c r="I1495" s="57" t="s">
        <v>2136</v>
      </c>
    </row>
    <row r="1496" spans="1:9" ht="47.25">
      <c r="A1496" s="238">
        <v>1494</v>
      </c>
      <c r="B1496" s="242" t="s">
        <v>1837</v>
      </c>
      <c r="C1496" s="246" t="s">
        <v>1132</v>
      </c>
      <c r="D1496" s="247">
        <v>1</v>
      </c>
      <c r="E1496" s="257" t="s">
        <v>2031</v>
      </c>
      <c r="F1496" s="291">
        <v>2975834</v>
      </c>
      <c r="G1496" s="162" t="s">
        <v>11</v>
      </c>
      <c r="H1496" s="4"/>
      <c r="I1496" s="57" t="s">
        <v>2136</v>
      </c>
    </row>
    <row r="1497" spans="1:9" ht="47.25">
      <c r="A1497" s="238">
        <v>1495</v>
      </c>
      <c r="B1497" s="242" t="s">
        <v>1837</v>
      </c>
      <c r="C1497" s="246" t="s">
        <v>1132</v>
      </c>
      <c r="D1497" s="247">
        <v>2</v>
      </c>
      <c r="E1497" s="257" t="s">
        <v>2032</v>
      </c>
      <c r="F1497" s="291">
        <v>1170000</v>
      </c>
      <c r="G1497" s="162" t="s">
        <v>11</v>
      </c>
      <c r="H1497" s="4"/>
      <c r="I1497" s="57" t="s">
        <v>2136</v>
      </c>
    </row>
    <row r="1498" spans="1:9" ht="63">
      <c r="A1498" s="238">
        <v>1496</v>
      </c>
      <c r="B1498" s="242" t="s">
        <v>1837</v>
      </c>
      <c r="C1498" s="246" t="s">
        <v>1132</v>
      </c>
      <c r="D1498" s="247">
        <v>6</v>
      </c>
      <c r="E1498" s="257" t="s">
        <v>2033</v>
      </c>
      <c r="F1498" s="291">
        <v>3124427</v>
      </c>
      <c r="G1498" s="162" t="s">
        <v>11</v>
      </c>
      <c r="H1498" s="4"/>
      <c r="I1498" s="57" t="s">
        <v>2136</v>
      </c>
    </row>
    <row r="1499" spans="1:9" ht="63">
      <c r="A1499" s="238">
        <v>1497</v>
      </c>
      <c r="B1499" s="242" t="s">
        <v>1837</v>
      </c>
      <c r="C1499" s="246" t="s">
        <v>1132</v>
      </c>
      <c r="D1499" s="247">
        <v>7</v>
      </c>
      <c r="E1499" s="257" t="s">
        <v>2034</v>
      </c>
      <c r="F1499" s="291">
        <v>486610</v>
      </c>
      <c r="G1499" s="162" t="s">
        <v>11</v>
      </c>
      <c r="H1499" s="4"/>
      <c r="I1499" s="57" t="s">
        <v>2136</v>
      </c>
    </row>
    <row r="1500" spans="1:9" ht="94.5">
      <c r="A1500" s="238">
        <v>1498</v>
      </c>
      <c r="B1500" s="242" t="s">
        <v>1837</v>
      </c>
      <c r="C1500" s="246" t="s">
        <v>269</v>
      </c>
      <c r="D1500" s="247">
        <v>3</v>
      </c>
      <c r="E1500" s="257" t="s">
        <v>2035</v>
      </c>
      <c r="F1500" s="291">
        <v>2112325</v>
      </c>
      <c r="G1500" s="162" t="s">
        <v>11</v>
      </c>
      <c r="H1500" s="4"/>
      <c r="I1500" s="57" t="s">
        <v>2136</v>
      </c>
    </row>
    <row r="1501" spans="1:9" ht="63">
      <c r="A1501" s="238">
        <v>1499</v>
      </c>
      <c r="B1501" s="242" t="s">
        <v>1837</v>
      </c>
      <c r="C1501" s="246" t="s">
        <v>269</v>
      </c>
      <c r="D1501" s="247">
        <v>7</v>
      </c>
      <c r="E1501" s="257" t="s">
        <v>2036</v>
      </c>
      <c r="F1501" s="291">
        <v>14913589.92</v>
      </c>
      <c r="G1501" s="162" t="s">
        <v>11</v>
      </c>
      <c r="H1501" s="4"/>
      <c r="I1501" s="57" t="s">
        <v>2136</v>
      </c>
    </row>
    <row r="1502" spans="1:9" ht="47.25">
      <c r="A1502" s="238">
        <v>1500</v>
      </c>
      <c r="B1502" s="242" t="s">
        <v>1837</v>
      </c>
      <c r="C1502" s="246" t="s">
        <v>157</v>
      </c>
      <c r="D1502" s="247">
        <v>1</v>
      </c>
      <c r="E1502" s="257" t="s">
        <v>2037</v>
      </c>
      <c r="F1502" s="292">
        <v>6246234</v>
      </c>
      <c r="G1502" s="162" t="s">
        <v>11</v>
      </c>
      <c r="H1502" s="4"/>
      <c r="I1502" s="57" t="s">
        <v>2136</v>
      </c>
    </row>
    <row r="1503" spans="1:9" ht="47.25">
      <c r="A1503" s="238">
        <v>1501</v>
      </c>
      <c r="B1503" s="242" t="s">
        <v>1837</v>
      </c>
      <c r="C1503" s="246" t="s">
        <v>157</v>
      </c>
      <c r="D1503" s="247">
        <v>20</v>
      </c>
      <c r="E1503" s="257" t="s">
        <v>2038</v>
      </c>
      <c r="F1503" s="292">
        <v>4330046</v>
      </c>
      <c r="G1503" s="162" t="s">
        <v>11</v>
      </c>
      <c r="H1503" s="4"/>
      <c r="I1503" s="57" t="s">
        <v>2136</v>
      </c>
    </row>
    <row r="1504" spans="1:9" ht="47.25">
      <c r="A1504" s="238">
        <v>1502</v>
      </c>
      <c r="B1504" s="242" t="s">
        <v>1837</v>
      </c>
      <c r="C1504" s="246" t="s">
        <v>9</v>
      </c>
      <c r="D1504" s="247">
        <v>31.12</v>
      </c>
      <c r="E1504" s="257" t="s">
        <v>2039</v>
      </c>
      <c r="F1504" s="291">
        <v>940335</v>
      </c>
      <c r="G1504" s="162" t="s">
        <v>11</v>
      </c>
      <c r="H1504" s="4"/>
      <c r="I1504" s="57" t="s">
        <v>2136</v>
      </c>
    </row>
    <row r="1505" spans="1:9" ht="78.75">
      <c r="A1505" s="238">
        <v>1503</v>
      </c>
      <c r="B1505" s="242" t="s">
        <v>1837</v>
      </c>
      <c r="C1505" s="246" t="s">
        <v>9</v>
      </c>
      <c r="D1505" s="247">
        <v>38.03</v>
      </c>
      <c r="E1505" s="257" t="s">
        <v>2040</v>
      </c>
      <c r="F1505" s="291">
        <v>86629500</v>
      </c>
      <c r="G1505" s="162" t="s">
        <v>11</v>
      </c>
      <c r="H1505" s="4"/>
      <c r="I1505" s="57" t="s">
        <v>2136</v>
      </c>
    </row>
    <row r="1506" spans="1:9" ht="33">
      <c r="A1506" s="238">
        <v>1504</v>
      </c>
      <c r="B1506" s="242" t="s">
        <v>1837</v>
      </c>
      <c r="C1506" s="246" t="s">
        <v>13</v>
      </c>
      <c r="D1506" s="247">
        <v>17</v>
      </c>
      <c r="E1506" s="257" t="s">
        <v>2041</v>
      </c>
      <c r="F1506" s="293">
        <v>241969</v>
      </c>
      <c r="G1506" s="162" t="s">
        <v>11</v>
      </c>
      <c r="H1506" s="4"/>
      <c r="I1506" s="57" t="s">
        <v>2136</v>
      </c>
    </row>
    <row r="1507" spans="1:9" ht="63">
      <c r="A1507" s="238">
        <v>1505</v>
      </c>
      <c r="B1507" s="242" t="s">
        <v>1837</v>
      </c>
      <c r="C1507" s="246" t="s">
        <v>13</v>
      </c>
      <c r="D1507" s="247">
        <v>21</v>
      </c>
      <c r="E1507" s="257" t="s">
        <v>2042</v>
      </c>
      <c r="F1507" s="293">
        <v>1467406</v>
      </c>
      <c r="G1507" s="162" t="s">
        <v>11</v>
      </c>
      <c r="H1507" s="4"/>
      <c r="I1507" s="57" t="s">
        <v>2136</v>
      </c>
    </row>
    <row r="1508" spans="1:9" ht="63">
      <c r="A1508" s="238">
        <v>1506</v>
      </c>
      <c r="B1508" s="242" t="s">
        <v>1837</v>
      </c>
      <c r="C1508" s="287" t="s">
        <v>180</v>
      </c>
      <c r="D1508" s="294">
        <v>65.2</v>
      </c>
      <c r="E1508" s="305" t="s">
        <v>2043</v>
      </c>
      <c r="F1508" s="295" t="s">
        <v>2044</v>
      </c>
      <c r="G1508" s="162" t="s">
        <v>11</v>
      </c>
      <c r="H1508" s="4"/>
      <c r="I1508" s="57" t="s">
        <v>2136</v>
      </c>
    </row>
    <row r="1509" spans="1:9" ht="47.25">
      <c r="A1509" s="238">
        <v>1507</v>
      </c>
      <c r="B1509" s="242" t="s">
        <v>1837</v>
      </c>
      <c r="C1509" s="287" t="s">
        <v>180</v>
      </c>
      <c r="D1509" s="296">
        <v>81</v>
      </c>
      <c r="E1509" s="305" t="s">
        <v>2045</v>
      </c>
      <c r="F1509" s="295" t="s">
        <v>2046</v>
      </c>
      <c r="G1509" s="162" t="s">
        <v>11</v>
      </c>
      <c r="H1509" s="4"/>
      <c r="I1509" s="57" t="s">
        <v>2136</v>
      </c>
    </row>
    <row r="1510" spans="1:9" ht="47.25">
      <c r="A1510" s="238">
        <v>1508</v>
      </c>
      <c r="B1510" s="242" t="s">
        <v>1837</v>
      </c>
      <c r="C1510" s="287" t="s">
        <v>180</v>
      </c>
      <c r="D1510" s="296">
        <v>83</v>
      </c>
      <c r="E1510" s="320" t="s">
        <v>2047</v>
      </c>
      <c r="F1510" s="295" t="s">
        <v>2048</v>
      </c>
      <c r="G1510" s="162" t="s">
        <v>11</v>
      </c>
      <c r="H1510" s="4"/>
      <c r="I1510" s="57" t="s">
        <v>2136</v>
      </c>
    </row>
    <row r="1511" spans="1:9" ht="60">
      <c r="A1511" s="238">
        <v>1509</v>
      </c>
      <c r="B1511" s="242" t="s">
        <v>1837</v>
      </c>
      <c r="C1511" s="287" t="s">
        <v>180</v>
      </c>
      <c r="D1511" s="294">
        <v>92.1</v>
      </c>
      <c r="E1511" s="322" t="s">
        <v>2049</v>
      </c>
      <c r="F1511" s="295" t="s">
        <v>2050</v>
      </c>
      <c r="G1511" s="162" t="s">
        <v>11</v>
      </c>
      <c r="H1511" s="4"/>
      <c r="I1511" s="57" t="s">
        <v>2136</v>
      </c>
    </row>
    <row r="1512" spans="1:9" ht="75">
      <c r="A1512" s="238">
        <v>1510</v>
      </c>
      <c r="B1512" s="242" t="s">
        <v>1837</v>
      </c>
      <c r="C1512" s="287" t="s">
        <v>2051</v>
      </c>
      <c r="D1512" s="296">
        <v>94</v>
      </c>
      <c r="E1512" s="322" t="s">
        <v>1128</v>
      </c>
      <c r="F1512" s="295" t="s">
        <v>2052</v>
      </c>
      <c r="G1512" s="162" t="s">
        <v>11</v>
      </c>
      <c r="H1512" s="4"/>
      <c r="I1512" s="57" t="s">
        <v>2136</v>
      </c>
    </row>
    <row r="1513" spans="1:9" ht="47.25">
      <c r="A1513" s="238">
        <v>1511</v>
      </c>
      <c r="B1513" s="242" t="s">
        <v>1837</v>
      </c>
      <c r="C1513" s="252" t="s">
        <v>703</v>
      </c>
      <c r="D1513" s="253">
        <v>29.1</v>
      </c>
      <c r="E1513" s="313" t="s">
        <v>2053</v>
      </c>
      <c r="F1513" s="344">
        <v>228912</v>
      </c>
      <c r="G1513" s="162" t="s">
        <v>11</v>
      </c>
      <c r="H1513" s="4"/>
      <c r="I1513" s="57" t="s">
        <v>2136</v>
      </c>
    </row>
    <row r="1514" spans="1:9" ht="63">
      <c r="A1514" s="238">
        <v>1512</v>
      </c>
      <c r="B1514" s="242" t="s">
        <v>1837</v>
      </c>
      <c r="C1514" s="252" t="s">
        <v>703</v>
      </c>
      <c r="D1514" s="253">
        <v>25</v>
      </c>
      <c r="E1514" s="313" t="s">
        <v>2054</v>
      </c>
      <c r="F1514" s="344">
        <v>5381530</v>
      </c>
      <c r="G1514" s="162" t="s">
        <v>11</v>
      </c>
      <c r="H1514" s="4"/>
      <c r="I1514" s="57" t="s">
        <v>2136</v>
      </c>
    </row>
    <row r="1515" spans="1:9" ht="63">
      <c r="A1515" s="238">
        <v>1513</v>
      </c>
      <c r="B1515" s="242" t="s">
        <v>1837</v>
      </c>
      <c r="C1515" s="287" t="s">
        <v>180</v>
      </c>
      <c r="D1515" s="294">
        <v>65.2</v>
      </c>
      <c r="E1515" s="305" t="s">
        <v>2043</v>
      </c>
      <c r="F1515" s="295" t="s">
        <v>2044</v>
      </c>
      <c r="G1515" s="162" t="s">
        <v>11</v>
      </c>
      <c r="H1515" s="4"/>
      <c r="I1515" s="57" t="s">
        <v>2136</v>
      </c>
    </row>
    <row r="1516" spans="1:9" ht="47.25">
      <c r="A1516" s="238">
        <v>1514</v>
      </c>
      <c r="B1516" s="242" t="s">
        <v>1837</v>
      </c>
      <c r="C1516" s="287" t="s">
        <v>180</v>
      </c>
      <c r="D1516" s="296">
        <v>81</v>
      </c>
      <c r="E1516" s="305" t="s">
        <v>2045</v>
      </c>
      <c r="F1516" s="295" t="s">
        <v>2046</v>
      </c>
      <c r="G1516" s="162" t="s">
        <v>11</v>
      </c>
      <c r="H1516" s="4"/>
      <c r="I1516" s="57" t="s">
        <v>2136</v>
      </c>
    </row>
    <row r="1517" spans="1:9" ht="47.25">
      <c r="A1517" s="238">
        <v>1515</v>
      </c>
      <c r="B1517" s="242" t="s">
        <v>1837</v>
      </c>
      <c r="C1517" s="287" t="s">
        <v>180</v>
      </c>
      <c r="D1517" s="296">
        <v>83</v>
      </c>
      <c r="E1517" s="320" t="s">
        <v>2047</v>
      </c>
      <c r="F1517" s="295" t="s">
        <v>2048</v>
      </c>
      <c r="G1517" s="162" t="s">
        <v>11</v>
      </c>
      <c r="H1517" s="4"/>
      <c r="I1517" s="57" t="s">
        <v>2136</v>
      </c>
    </row>
    <row r="1518" spans="1:9" ht="60">
      <c r="A1518" s="238">
        <v>1516</v>
      </c>
      <c r="B1518" s="242" t="s">
        <v>1837</v>
      </c>
      <c r="C1518" s="287" t="s">
        <v>180</v>
      </c>
      <c r="D1518" s="294">
        <v>92.1</v>
      </c>
      <c r="E1518" s="322" t="s">
        <v>2049</v>
      </c>
      <c r="F1518" s="295" t="s">
        <v>2050</v>
      </c>
      <c r="G1518" s="162" t="s">
        <v>11</v>
      </c>
      <c r="H1518" s="4"/>
      <c r="I1518" s="57" t="s">
        <v>2136</v>
      </c>
    </row>
    <row r="1519" spans="1:9" ht="75">
      <c r="A1519" s="238">
        <v>1517</v>
      </c>
      <c r="B1519" s="242" t="s">
        <v>1837</v>
      </c>
      <c r="C1519" s="287" t="s">
        <v>2051</v>
      </c>
      <c r="D1519" s="296">
        <v>94</v>
      </c>
      <c r="E1519" s="322" t="s">
        <v>1128</v>
      </c>
      <c r="F1519" s="295" t="s">
        <v>2052</v>
      </c>
      <c r="G1519" s="162" t="s">
        <v>11</v>
      </c>
      <c r="H1519" s="4"/>
      <c r="I1519" s="57" t="s">
        <v>2136</v>
      </c>
    </row>
    <row r="1520" spans="1:9" ht="78.75">
      <c r="A1520" s="238">
        <v>1518</v>
      </c>
      <c r="B1520" s="242" t="s">
        <v>1837</v>
      </c>
      <c r="C1520" s="252" t="s">
        <v>703</v>
      </c>
      <c r="D1520" s="253">
        <v>22</v>
      </c>
      <c r="E1520" s="313" t="s">
        <v>2055</v>
      </c>
      <c r="F1520" s="344">
        <v>2395668</v>
      </c>
      <c r="G1520" s="162" t="s">
        <v>11</v>
      </c>
      <c r="H1520" s="4"/>
      <c r="I1520" s="57" t="s">
        <v>2136</v>
      </c>
    </row>
    <row r="1521" spans="1:9" ht="49.5">
      <c r="A1521" s="238">
        <v>1519</v>
      </c>
      <c r="B1521" s="242" t="s">
        <v>1838</v>
      </c>
      <c r="C1521" s="246" t="s">
        <v>2056</v>
      </c>
      <c r="D1521" s="247">
        <v>2</v>
      </c>
      <c r="E1521" s="257" t="s">
        <v>2057</v>
      </c>
      <c r="F1521" s="249">
        <v>131414</v>
      </c>
      <c r="G1521" s="162" t="s">
        <v>11</v>
      </c>
      <c r="H1521" s="4"/>
      <c r="I1521" s="57" t="s">
        <v>2136</v>
      </c>
    </row>
    <row r="1522" spans="1:9" ht="49.5">
      <c r="A1522" s="238">
        <v>1520</v>
      </c>
      <c r="B1522" s="242" t="s">
        <v>1838</v>
      </c>
      <c r="C1522" s="246" t="s">
        <v>9</v>
      </c>
      <c r="D1522" s="247">
        <v>21.2</v>
      </c>
      <c r="E1522" s="257" t="s">
        <v>2058</v>
      </c>
      <c r="F1522" s="249">
        <v>19643902</v>
      </c>
      <c r="G1522" s="162" t="s">
        <v>11</v>
      </c>
      <c r="H1522" s="4"/>
      <c r="I1522" s="57" t="s">
        <v>2136</v>
      </c>
    </row>
    <row r="1523" spans="1:9" ht="78.75">
      <c r="A1523" s="238">
        <v>1521</v>
      </c>
      <c r="B1523" s="242" t="s">
        <v>1838</v>
      </c>
      <c r="C1523" s="246" t="s">
        <v>9</v>
      </c>
      <c r="D1523" s="247">
        <v>38.04</v>
      </c>
      <c r="E1523" s="257" t="s">
        <v>2059</v>
      </c>
      <c r="F1523" s="249">
        <v>9982024</v>
      </c>
      <c r="G1523" s="162" t="s">
        <v>11</v>
      </c>
      <c r="H1523" s="4"/>
      <c r="I1523" s="57" t="s">
        <v>2136</v>
      </c>
    </row>
    <row r="1524" spans="1:9" ht="33">
      <c r="A1524" s="238">
        <v>1522</v>
      </c>
      <c r="B1524" s="242" t="s">
        <v>1839</v>
      </c>
      <c r="C1524" s="246" t="s">
        <v>2060</v>
      </c>
      <c r="D1524" s="247">
        <v>1</v>
      </c>
      <c r="E1524" s="257" t="s">
        <v>2061</v>
      </c>
      <c r="F1524" s="249">
        <v>6577095</v>
      </c>
      <c r="G1524" s="162" t="s">
        <v>11</v>
      </c>
      <c r="H1524" s="4"/>
      <c r="I1524" s="57" t="s">
        <v>2136</v>
      </c>
    </row>
    <row r="1525" spans="1:9" ht="33">
      <c r="A1525" s="238">
        <v>1523</v>
      </c>
      <c r="B1525" s="242" t="s">
        <v>1839</v>
      </c>
      <c r="C1525" s="246" t="s">
        <v>2060</v>
      </c>
      <c r="D1525" s="247">
        <v>2</v>
      </c>
      <c r="E1525" s="257" t="s">
        <v>2062</v>
      </c>
      <c r="F1525" s="249">
        <v>472860</v>
      </c>
      <c r="G1525" s="162" t="s">
        <v>11</v>
      </c>
      <c r="H1525" s="4"/>
      <c r="I1525" s="57" t="s">
        <v>2136</v>
      </c>
    </row>
    <row r="1526" spans="1:9" ht="49.5">
      <c r="A1526" s="238">
        <v>1524</v>
      </c>
      <c r="B1526" s="242" t="s">
        <v>1840</v>
      </c>
      <c r="C1526" s="246" t="s">
        <v>2063</v>
      </c>
      <c r="D1526" s="247">
        <v>6</v>
      </c>
      <c r="E1526" s="257" t="s">
        <v>2064</v>
      </c>
      <c r="F1526" s="249">
        <v>458079</v>
      </c>
      <c r="G1526" s="162" t="s">
        <v>11</v>
      </c>
      <c r="H1526" s="4"/>
      <c r="I1526" s="57" t="s">
        <v>2136</v>
      </c>
    </row>
    <row r="1527" spans="1:9" ht="33">
      <c r="A1527" s="238">
        <v>1525</v>
      </c>
      <c r="B1527" s="242" t="s">
        <v>1841</v>
      </c>
      <c r="C1527" s="246" t="s">
        <v>254</v>
      </c>
      <c r="D1527" s="247">
        <v>6</v>
      </c>
      <c r="E1527" s="257" t="s">
        <v>2065</v>
      </c>
      <c r="F1527" s="249">
        <v>64310</v>
      </c>
      <c r="G1527" s="162" t="s">
        <v>11</v>
      </c>
      <c r="H1527" s="4"/>
      <c r="I1527" s="57" t="s">
        <v>2136</v>
      </c>
    </row>
    <row r="1528" spans="1:9" ht="33">
      <c r="A1528" s="238">
        <v>1526</v>
      </c>
      <c r="B1528" s="242" t="s">
        <v>1841</v>
      </c>
      <c r="C1528" s="246" t="s">
        <v>2066</v>
      </c>
      <c r="D1528" s="247">
        <v>3</v>
      </c>
      <c r="E1528" s="257" t="s">
        <v>2067</v>
      </c>
      <c r="F1528" s="249">
        <v>89589716</v>
      </c>
      <c r="G1528" s="162" t="s">
        <v>11</v>
      </c>
      <c r="H1528" s="4"/>
      <c r="I1528" s="57" t="s">
        <v>2136</v>
      </c>
    </row>
    <row r="1529" spans="1:9" ht="47.25">
      <c r="A1529" s="238">
        <v>1527</v>
      </c>
      <c r="B1529" s="242" t="s">
        <v>1841</v>
      </c>
      <c r="C1529" s="246" t="s">
        <v>13</v>
      </c>
      <c r="D1529" s="258">
        <v>25</v>
      </c>
      <c r="E1529" s="150" t="s">
        <v>2068</v>
      </c>
      <c r="F1529" s="259">
        <v>7048261</v>
      </c>
      <c r="G1529" s="162" t="s">
        <v>11</v>
      </c>
      <c r="H1529" s="4"/>
      <c r="I1529" s="57" t="s">
        <v>2136</v>
      </c>
    </row>
    <row r="1530" spans="1:9" ht="78.75">
      <c r="A1530" s="238">
        <v>1528</v>
      </c>
      <c r="B1530" s="242" t="s">
        <v>1842</v>
      </c>
      <c r="C1530" s="246" t="s">
        <v>2069</v>
      </c>
      <c r="D1530" s="247">
        <v>11</v>
      </c>
      <c r="E1530" s="257" t="s">
        <v>2070</v>
      </c>
      <c r="F1530" s="249">
        <f>3961504</f>
        <v>3961504</v>
      </c>
      <c r="G1530" s="162" t="s">
        <v>11</v>
      </c>
      <c r="H1530" s="4"/>
      <c r="I1530" s="57" t="s">
        <v>2136</v>
      </c>
    </row>
    <row r="1531" spans="1:9" ht="33">
      <c r="A1531" s="238">
        <v>1529</v>
      </c>
      <c r="B1531" s="242" t="s">
        <v>1842</v>
      </c>
      <c r="C1531" s="246" t="s">
        <v>2069</v>
      </c>
      <c r="D1531" s="247">
        <v>26</v>
      </c>
      <c r="E1531" s="257" t="s">
        <v>2071</v>
      </c>
      <c r="F1531" s="249">
        <v>717839</v>
      </c>
      <c r="G1531" s="162" t="s">
        <v>11</v>
      </c>
      <c r="H1531" s="4"/>
      <c r="I1531" s="57" t="s">
        <v>2136</v>
      </c>
    </row>
    <row r="1532" spans="1:9" ht="63">
      <c r="A1532" s="238">
        <v>1530</v>
      </c>
      <c r="B1532" s="242" t="s">
        <v>1846</v>
      </c>
      <c r="C1532" s="246" t="s">
        <v>9</v>
      </c>
      <c r="D1532" s="247">
        <v>22</v>
      </c>
      <c r="E1532" s="257" t="s">
        <v>2072</v>
      </c>
      <c r="F1532" s="249">
        <v>6445500000</v>
      </c>
      <c r="G1532" s="162" t="s">
        <v>11</v>
      </c>
      <c r="H1532" s="4"/>
      <c r="I1532" s="57" t="s">
        <v>2136</v>
      </c>
    </row>
    <row r="1533" spans="1:9" ht="47.25">
      <c r="A1533" s="238">
        <v>1531</v>
      </c>
      <c r="B1533" s="242" t="s">
        <v>1845</v>
      </c>
      <c r="C1533" s="252" t="s">
        <v>703</v>
      </c>
      <c r="D1533" s="253">
        <v>8</v>
      </c>
      <c r="E1533" s="313" t="s">
        <v>2073</v>
      </c>
      <c r="F1533" s="332">
        <v>2080750</v>
      </c>
      <c r="G1533" s="162" t="s">
        <v>11</v>
      </c>
      <c r="H1533" s="4"/>
      <c r="I1533" s="57" t="s">
        <v>2136</v>
      </c>
    </row>
    <row r="1534" spans="1:9" ht="33">
      <c r="A1534" s="238">
        <v>1532</v>
      </c>
      <c r="B1534" s="242" t="s">
        <v>1845</v>
      </c>
      <c r="C1534" s="246" t="s">
        <v>462</v>
      </c>
      <c r="D1534" s="247">
        <v>15</v>
      </c>
      <c r="E1534" s="314" t="s">
        <v>2074</v>
      </c>
      <c r="F1534" s="255"/>
      <c r="G1534" s="162" t="s">
        <v>11</v>
      </c>
      <c r="H1534" s="4"/>
      <c r="I1534" s="57" t="s">
        <v>2136</v>
      </c>
    </row>
    <row r="1535" spans="1:9" ht="47.25">
      <c r="A1535" s="238">
        <v>1533</v>
      </c>
      <c r="B1535" s="29" t="s">
        <v>1845</v>
      </c>
      <c r="C1535" s="263" t="s">
        <v>703</v>
      </c>
      <c r="D1535" s="264">
        <v>29.3</v>
      </c>
      <c r="E1535" s="316" t="s">
        <v>2075</v>
      </c>
      <c r="F1535" s="334">
        <v>277592</v>
      </c>
      <c r="G1535" s="162" t="s">
        <v>11</v>
      </c>
      <c r="H1535" s="4"/>
      <c r="I1535" s="57" t="s">
        <v>2136</v>
      </c>
    </row>
    <row r="1536" spans="1:9" ht="63">
      <c r="A1536" s="238">
        <v>1534</v>
      </c>
      <c r="B1536" s="242" t="s">
        <v>1845</v>
      </c>
      <c r="C1536" s="252" t="s">
        <v>703</v>
      </c>
      <c r="D1536" s="253">
        <v>52</v>
      </c>
      <c r="E1536" s="313" t="s">
        <v>2076</v>
      </c>
      <c r="F1536" s="332">
        <v>20807541</v>
      </c>
      <c r="G1536" s="162" t="s">
        <v>11</v>
      </c>
      <c r="H1536" s="4"/>
      <c r="I1536" s="57" t="s">
        <v>2136</v>
      </c>
    </row>
    <row r="1537" spans="1:9" ht="63">
      <c r="A1537" s="238">
        <v>1535</v>
      </c>
      <c r="B1537" s="329" t="s">
        <v>1843</v>
      </c>
      <c r="C1537" s="265" t="s">
        <v>180</v>
      </c>
      <c r="D1537" s="277">
        <v>19</v>
      </c>
      <c r="E1537" s="323" t="s">
        <v>2077</v>
      </c>
      <c r="F1537" s="265" t="s">
        <v>2078</v>
      </c>
      <c r="G1537" s="162" t="s">
        <v>11</v>
      </c>
      <c r="H1537" s="4"/>
      <c r="I1537" s="57" t="s">
        <v>2136</v>
      </c>
    </row>
    <row r="1538" spans="1:9" ht="94.5">
      <c r="A1538" s="238">
        <v>1536</v>
      </c>
      <c r="B1538" s="29" t="s">
        <v>2079</v>
      </c>
      <c r="C1538" s="26" t="s">
        <v>1986</v>
      </c>
      <c r="D1538" s="260" t="s">
        <v>2080</v>
      </c>
      <c r="E1538" s="273" t="s">
        <v>2081</v>
      </c>
      <c r="F1538" s="270">
        <v>91419700</v>
      </c>
      <c r="G1538" s="162" t="s">
        <v>11</v>
      </c>
      <c r="H1538" s="4"/>
      <c r="I1538" s="57" t="s">
        <v>2136</v>
      </c>
    </row>
    <row r="1539" spans="1:9" ht="78.75">
      <c r="A1539" s="238">
        <v>1537</v>
      </c>
      <c r="B1539" s="329" t="s">
        <v>1843</v>
      </c>
      <c r="C1539" s="265" t="s">
        <v>180</v>
      </c>
      <c r="D1539" s="277">
        <v>20</v>
      </c>
      <c r="E1539" s="317" t="s">
        <v>2082</v>
      </c>
      <c r="F1539" s="265" t="s">
        <v>2083</v>
      </c>
      <c r="G1539" s="162" t="s">
        <v>11</v>
      </c>
      <c r="H1539" s="4"/>
      <c r="I1539" s="57" t="s">
        <v>2136</v>
      </c>
    </row>
    <row r="1540" spans="1:9" ht="78.75">
      <c r="A1540" s="238">
        <v>1538</v>
      </c>
      <c r="B1540" s="329" t="s">
        <v>1843</v>
      </c>
      <c r="C1540" s="265" t="s">
        <v>180</v>
      </c>
      <c r="D1540" s="277">
        <v>48</v>
      </c>
      <c r="E1540" s="324" t="s">
        <v>2084</v>
      </c>
      <c r="F1540" s="265" t="s">
        <v>2085</v>
      </c>
      <c r="G1540" s="162" t="s">
        <v>11</v>
      </c>
      <c r="H1540" s="4"/>
      <c r="I1540" s="57" t="s">
        <v>2136</v>
      </c>
    </row>
    <row r="1541" spans="1:9" ht="75">
      <c r="A1541" s="238">
        <v>1539</v>
      </c>
      <c r="B1541" s="329" t="s">
        <v>1843</v>
      </c>
      <c r="C1541" s="265" t="s">
        <v>180</v>
      </c>
      <c r="D1541" s="277">
        <v>90</v>
      </c>
      <c r="E1541" s="319" t="s">
        <v>2086</v>
      </c>
      <c r="F1541" s="265" t="s">
        <v>2087</v>
      </c>
      <c r="G1541" s="162" t="s">
        <v>11</v>
      </c>
      <c r="H1541" s="4"/>
      <c r="I1541" s="57" t="s">
        <v>2136</v>
      </c>
    </row>
    <row r="1542" spans="1:9" ht="78.75">
      <c r="A1542" s="238">
        <v>1540</v>
      </c>
      <c r="B1542" s="297" t="s">
        <v>1828</v>
      </c>
      <c r="C1542" s="298" t="s">
        <v>2088</v>
      </c>
      <c r="D1542" s="246">
        <v>65</v>
      </c>
      <c r="E1542" s="257" t="s">
        <v>2089</v>
      </c>
      <c r="F1542" s="299" t="s">
        <v>2090</v>
      </c>
      <c r="G1542" s="162" t="s">
        <v>43</v>
      </c>
      <c r="H1542" s="4"/>
      <c r="I1542" s="57" t="s">
        <v>2136</v>
      </c>
    </row>
    <row r="1543" spans="1:9" ht="47.25">
      <c r="A1543" s="238">
        <v>1541</v>
      </c>
      <c r="B1543" s="297" t="s">
        <v>1828</v>
      </c>
      <c r="C1543" s="298" t="s">
        <v>13</v>
      </c>
      <c r="D1543" s="300">
        <v>68</v>
      </c>
      <c r="E1543" s="325" t="s">
        <v>2091</v>
      </c>
      <c r="F1543" s="301">
        <v>497250</v>
      </c>
      <c r="G1543" s="162" t="s">
        <v>43</v>
      </c>
      <c r="H1543" s="4"/>
      <c r="I1543" s="57" t="s">
        <v>2136</v>
      </c>
    </row>
    <row r="1544" spans="1:9" ht="47.25">
      <c r="A1544" s="238">
        <v>1542</v>
      </c>
      <c r="B1544" s="297" t="s">
        <v>1828</v>
      </c>
      <c r="C1544" s="298" t="s">
        <v>13</v>
      </c>
      <c r="D1544" s="300">
        <v>69</v>
      </c>
      <c r="E1544" s="325" t="s">
        <v>2092</v>
      </c>
      <c r="F1544" s="301"/>
      <c r="G1544" s="162" t="s">
        <v>43</v>
      </c>
      <c r="H1544" s="4"/>
      <c r="I1544" s="57" t="s">
        <v>2136</v>
      </c>
    </row>
    <row r="1545" spans="1:9" ht="47.25">
      <c r="A1545" s="238">
        <v>1543</v>
      </c>
      <c r="B1545" s="297" t="s">
        <v>1828</v>
      </c>
      <c r="C1545" s="302" t="s">
        <v>703</v>
      </c>
      <c r="D1545" s="253">
        <v>68</v>
      </c>
      <c r="E1545" s="325" t="s">
        <v>2093</v>
      </c>
      <c r="F1545" s="289">
        <v>323860</v>
      </c>
      <c r="G1545" s="162" t="s">
        <v>43</v>
      </c>
      <c r="H1545" s="4"/>
      <c r="I1545" s="57" t="s">
        <v>2136</v>
      </c>
    </row>
    <row r="1546" spans="1:9" ht="47.25">
      <c r="A1546" s="238">
        <v>1544</v>
      </c>
      <c r="B1546" s="297" t="s">
        <v>1829</v>
      </c>
      <c r="C1546" s="298" t="s">
        <v>157</v>
      </c>
      <c r="D1546" s="303">
        <v>26</v>
      </c>
      <c r="E1546" s="325" t="s">
        <v>2094</v>
      </c>
      <c r="F1546" s="301">
        <v>4490924</v>
      </c>
      <c r="G1546" s="162" t="s">
        <v>43</v>
      </c>
      <c r="H1546" s="4"/>
      <c r="I1546" s="57" t="s">
        <v>2136</v>
      </c>
    </row>
    <row r="1547" spans="1:9" ht="126">
      <c r="A1547" s="238">
        <v>1545</v>
      </c>
      <c r="B1547" s="297" t="s">
        <v>1829</v>
      </c>
      <c r="C1547" s="298" t="s">
        <v>157</v>
      </c>
      <c r="D1547" s="303">
        <v>27</v>
      </c>
      <c r="E1547" s="325" t="s">
        <v>2095</v>
      </c>
      <c r="F1547" s="301">
        <v>4231824</v>
      </c>
      <c r="G1547" s="162" t="s">
        <v>43</v>
      </c>
      <c r="H1547" s="4"/>
      <c r="I1547" s="57" t="s">
        <v>2136</v>
      </c>
    </row>
    <row r="1548" spans="1:9" ht="78.75">
      <c r="A1548" s="238">
        <v>1546</v>
      </c>
      <c r="B1548" s="297" t="s">
        <v>1829</v>
      </c>
      <c r="C1548" s="298" t="s">
        <v>34</v>
      </c>
      <c r="D1548" s="300">
        <v>26</v>
      </c>
      <c r="E1548" s="305" t="s">
        <v>2096</v>
      </c>
      <c r="F1548" s="304">
        <v>3071565</v>
      </c>
      <c r="G1548" s="162" t="s">
        <v>43</v>
      </c>
      <c r="H1548" s="4"/>
      <c r="I1548" s="57" t="s">
        <v>2136</v>
      </c>
    </row>
    <row r="1549" spans="1:9" ht="63">
      <c r="A1549" s="238">
        <v>1547</v>
      </c>
      <c r="B1549" s="297" t="s">
        <v>1829</v>
      </c>
      <c r="C1549" s="298" t="s">
        <v>34</v>
      </c>
      <c r="D1549" s="300">
        <v>27</v>
      </c>
      <c r="E1549" s="305" t="s">
        <v>2097</v>
      </c>
      <c r="F1549" s="304">
        <v>2233329</v>
      </c>
      <c r="G1549" s="162" t="s">
        <v>43</v>
      </c>
      <c r="H1549" s="4"/>
      <c r="I1549" s="57" t="s">
        <v>2136</v>
      </c>
    </row>
    <row r="1550" spans="1:9" ht="33">
      <c r="A1550" s="238">
        <v>1548</v>
      </c>
      <c r="B1550" s="28" t="s">
        <v>1829</v>
      </c>
      <c r="C1550" s="174" t="s">
        <v>703</v>
      </c>
      <c r="D1550" s="264">
        <v>87.3</v>
      </c>
      <c r="E1550" s="40" t="s">
        <v>2098</v>
      </c>
      <c r="F1550" s="337">
        <v>766669</v>
      </c>
      <c r="G1550" s="162" t="s">
        <v>43</v>
      </c>
      <c r="H1550" s="4"/>
      <c r="I1550" s="57" t="s">
        <v>2136</v>
      </c>
    </row>
    <row r="1551" spans="1:9" ht="47.25">
      <c r="A1551" s="238">
        <v>1549</v>
      </c>
      <c r="B1551" s="297" t="s">
        <v>1829</v>
      </c>
      <c r="C1551" s="302" t="s">
        <v>703</v>
      </c>
      <c r="D1551" s="253">
        <v>70</v>
      </c>
      <c r="E1551" s="325" t="s">
        <v>2099</v>
      </c>
      <c r="F1551" s="289">
        <v>1634960</v>
      </c>
      <c r="G1551" s="162" t="s">
        <v>43</v>
      </c>
      <c r="H1551" s="4"/>
      <c r="I1551" s="57" t="s">
        <v>2136</v>
      </c>
    </row>
    <row r="1552" spans="1:9" ht="47.25">
      <c r="A1552" s="238">
        <v>1550</v>
      </c>
      <c r="B1552" s="297" t="s">
        <v>1830</v>
      </c>
      <c r="C1552" s="298" t="s">
        <v>89</v>
      </c>
      <c r="D1552" s="303">
        <v>12</v>
      </c>
      <c r="E1552" s="305" t="s">
        <v>2100</v>
      </c>
      <c r="F1552" s="301">
        <v>170257680</v>
      </c>
      <c r="G1552" s="162" t="s">
        <v>43</v>
      </c>
      <c r="H1552" s="4"/>
      <c r="I1552" s="57" t="s">
        <v>2136</v>
      </c>
    </row>
    <row r="1553" spans="1:9" ht="33">
      <c r="A1553" s="238">
        <v>1551</v>
      </c>
      <c r="B1553" s="297" t="s">
        <v>1830</v>
      </c>
      <c r="C1553" s="298" t="s">
        <v>89</v>
      </c>
      <c r="D1553" s="303">
        <v>13</v>
      </c>
      <c r="E1553" s="326" t="s">
        <v>2101</v>
      </c>
      <c r="F1553" s="301">
        <v>47705000</v>
      </c>
      <c r="G1553" s="162" t="s">
        <v>43</v>
      </c>
      <c r="H1553" s="4"/>
      <c r="I1553" s="57" t="s">
        <v>2136</v>
      </c>
    </row>
    <row r="1554" spans="1:9" ht="47.25">
      <c r="A1554" s="238">
        <v>1552</v>
      </c>
      <c r="B1554" s="297" t="s">
        <v>1830</v>
      </c>
      <c r="C1554" s="298" t="s">
        <v>37</v>
      </c>
      <c r="D1554" s="306" t="s">
        <v>2102</v>
      </c>
      <c r="E1554" s="325" t="s">
        <v>2103</v>
      </c>
      <c r="F1554" s="301">
        <v>11124062</v>
      </c>
      <c r="G1554" s="162" t="s">
        <v>43</v>
      </c>
      <c r="H1554" s="4"/>
      <c r="I1554" s="57" t="s">
        <v>2136</v>
      </c>
    </row>
    <row r="1555" spans="1:9" ht="33">
      <c r="A1555" s="238">
        <v>1553</v>
      </c>
      <c r="B1555" s="297" t="s">
        <v>1830</v>
      </c>
      <c r="C1555" s="298" t="s">
        <v>37</v>
      </c>
      <c r="D1555" s="303">
        <v>56</v>
      </c>
      <c r="E1555" s="325" t="s">
        <v>2104</v>
      </c>
      <c r="F1555" s="301">
        <v>265160</v>
      </c>
      <c r="G1555" s="162" t="s">
        <v>43</v>
      </c>
      <c r="H1555" s="4"/>
      <c r="I1555" s="57" t="s">
        <v>2136</v>
      </c>
    </row>
    <row r="1556" spans="1:9" ht="78.75">
      <c r="A1556" s="238">
        <v>1554</v>
      </c>
      <c r="B1556" s="297" t="s">
        <v>1830</v>
      </c>
      <c r="C1556" s="298" t="s">
        <v>9</v>
      </c>
      <c r="D1556" s="303">
        <v>66</v>
      </c>
      <c r="E1556" s="327" t="s">
        <v>2105</v>
      </c>
      <c r="F1556" s="301">
        <v>11188759</v>
      </c>
      <c r="G1556" s="162" t="s">
        <v>43</v>
      </c>
      <c r="H1556" s="4"/>
      <c r="I1556" s="57" t="s">
        <v>2136</v>
      </c>
    </row>
    <row r="1557" spans="1:9" ht="47.25">
      <c r="A1557" s="238">
        <v>1555</v>
      </c>
      <c r="B1557" s="297" t="s">
        <v>1830</v>
      </c>
      <c r="C1557" s="298" t="s">
        <v>9</v>
      </c>
      <c r="D1557" s="303">
        <v>70</v>
      </c>
      <c r="E1557" s="327" t="s">
        <v>2106</v>
      </c>
      <c r="F1557" s="301">
        <v>45691</v>
      </c>
      <c r="G1557" s="162" t="s">
        <v>43</v>
      </c>
      <c r="H1557" s="4"/>
      <c r="I1557" s="57" t="s">
        <v>2136</v>
      </c>
    </row>
    <row r="1558" spans="1:9" ht="33">
      <c r="A1558" s="238">
        <v>1556</v>
      </c>
      <c r="B1558" s="297" t="s">
        <v>1830</v>
      </c>
      <c r="C1558" s="302" t="s">
        <v>703</v>
      </c>
      <c r="D1558" s="253">
        <v>90</v>
      </c>
      <c r="E1558" s="325" t="s">
        <v>2107</v>
      </c>
      <c r="F1558" s="289">
        <v>0</v>
      </c>
      <c r="G1558" s="162" t="s">
        <v>43</v>
      </c>
      <c r="H1558" s="4"/>
      <c r="I1558" s="57" t="s">
        <v>2136</v>
      </c>
    </row>
    <row r="1559" spans="1:9" ht="78.75">
      <c r="A1559" s="238">
        <v>1557</v>
      </c>
      <c r="B1559" s="297" t="s">
        <v>1830</v>
      </c>
      <c r="C1559" s="302" t="s">
        <v>703</v>
      </c>
      <c r="D1559" s="253">
        <v>81</v>
      </c>
      <c r="E1559" s="325" t="s">
        <v>2108</v>
      </c>
      <c r="F1559" s="289">
        <v>348967091</v>
      </c>
      <c r="G1559" s="162" t="s">
        <v>43</v>
      </c>
      <c r="H1559" s="4"/>
      <c r="I1559" s="57" t="s">
        <v>2136</v>
      </c>
    </row>
    <row r="1560" spans="1:9" ht="33">
      <c r="A1560" s="238">
        <v>1558</v>
      </c>
      <c r="B1560" s="297" t="s">
        <v>1831</v>
      </c>
      <c r="C1560" s="298" t="s">
        <v>13</v>
      </c>
      <c r="D1560" s="303">
        <v>65</v>
      </c>
      <c r="E1560" s="327" t="s">
        <v>2109</v>
      </c>
      <c r="F1560" s="301">
        <v>164497</v>
      </c>
      <c r="G1560" s="162" t="s">
        <v>43</v>
      </c>
      <c r="H1560" s="4"/>
      <c r="I1560" s="57" t="s">
        <v>2136</v>
      </c>
    </row>
    <row r="1561" spans="1:9" ht="63">
      <c r="A1561" s="238">
        <v>1559</v>
      </c>
      <c r="B1561" s="297" t="s">
        <v>1831</v>
      </c>
      <c r="C1561" s="302" t="s">
        <v>703</v>
      </c>
      <c r="D1561" s="253">
        <v>86.2</v>
      </c>
      <c r="E1561" s="325" t="s">
        <v>2110</v>
      </c>
      <c r="F1561" s="289">
        <v>57079930</v>
      </c>
      <c r="G1561" s="162" t="s">
        <v>43</v>
      </c>
      <c r="H1561" s="4"/>
      <c r="I1561" s="57" t="s">
        <v>2136</v>
      </c>
    </row>
    <row r="1562" spans="1:9" ht="78.75">
      <c r="A1562" s="238">
        <v>1560</v>
      </c>
      <c r="B1562" s="297" t="s">
        <v>1832</v>
      </c>
      <c r="C1562" s="298" t="s">
        <v>34</v>
      </c>
      <c r="D1562" s="307">
        <v>19</v>
      </c>
      <c r="E1562" s="305" t="s">
        <v>2111</v>
      </c>
      <c r="F1562" s="308" t="s">
        <v>2112</v>
      </c>
      <c r="G1562" s="162" t="s">
        <v>43</v>
      </c>
      <c r="H1562" s="4"/>
      <c r="I1562" s="57" t="s">
        <v>2136</v>
      </c>
    </row>
    <row r="1563" spans="1:9" ht="33">
      <c r="A1563" s="238">
        <v>1561</v>
      </c>
      <c r="B1563" s="297" t="s">
        <v>1832</v>
      </c>
      <c r="C1563" s="298" t="s">
        <v>37</v>
      </c>
      <c r="D1563" s="306" t="s">
        <v>2113</v>
      </c>
      <c r="E1563" s="325" t="s">
        <v>2114</v>
      </c>
      <c r="F1563" s="301">
        <v>419642</v>
      </c>
      <c r="G1563" s="162" t="s">
        <v>43</v>
      </c>
      <c r="H1563" s="4"/>
      <c r="I1563" s="57" t="s">
        <v>2136</v>
      </c>
    </row>
    <row r="1564" spans="1:9" ht="63">
      <c r="A1564" s="238">
        <v>1562</v>
      </c>
      <c r="B1564" s="297" t="s">
        <v>1832</v>
      </c>
      <c r="C1564" s="302" t="s">
        <v>703</v>
      </c>
      <c r="D1564" s="253">
        <v>91</v>
      </c>
      <c r="E1564" s="325" t="s">
        <v>2115</v>
      </c>
      <c r="F1564" s="289">
        <v>880841</v>
      </c>
      <c r="G1564" s="162" t="s">
        <v>43</v>
      </c>
      <c r="H1564" s="4"/>
      <c r="I1564" s="57" t="s">
        <v>2136</v>
      </c>
    </row>
    <row r="1565" spans="1:9" ht="63">
      <c r="A1565" s="238">
        <v>1563</v>
      </c>
      <c r="B1565" s="297" t="s">
        <v>1832</v>
      </c>
      <c r="C1565" s="302" t="s">
        <v>703</v>
      </c>
      <c r="D1565" s="253">
        <v>86.3</v>
      </c>
      <c r="E1565" s="325" t="s">
        <v>2116</v>
      </c>
      <c r="F1565" s="289">
        <v>8590272</v>
      </c>
      <c r="G1565" s="162" t="s">
        <v>43</v>
      </c>
      <c r="H1565" s="4"/>
      <c r="I1565" s="57" t="s">
        <v>2136</v>
      </c>
    </row>
    <row r="1566" spans="1:9" ht="63">
      <c r="A1566" s="238">
        <v>1564</v>
      </c>
      <c r="B1566" s="331" t="s">
        <v>2117</v>
      </c>
      <c r="C1566" s="287" t="s">
        <v>180</v>
      </c>
      <c r="D1566" s="309">
        <v>127</v>
      </c>
      <c r="E1566" s="305" t="s">
        <v>2118</v>
      </c>
      <c r="F1566" s="289">
        <v>1848458</v>
      </c>
      <c r="G1566" s="162" t="s">
        <v>43</v>
      </c>
      <c r="H1566" s="4"/>
      <c r="I1566" s="57" t="s">
        <v>2136</v>
      </c>
    </row>
    <row r="1567" spans="1:9" ht="78.75">
      <c r="A1567" s="238">
        <v>1565</v>
      </c>
      <c r="B1567" s="297" t="s">
        <v>1834</v>
      </c>
      <c r="C1567" s="302" t="s">
        <v>703</v>
      </c>
      <c r="D1567" s="253">
        <v>75</v>
      </c>
      <c r="E1567" s="325" t="s">
        <v>2119</v>
      </c>
      <c r="F1567" s="290">
        <v>1070602732</v>
      </c>
      <c r="G1567" s="162" t="s">
        <v>43</v>
      </c>
      <c r="H1567" s="4"/>
      <c r="I1567" s="57" t="s">
        <v>2136</v>
      </c>
    </row>
    <row r="1568" spans="1:9" ht="110.25">
      <c r="A1568" s="238">
        <v>1566</v>
      </c>
      <c r="B1568" s="297" t="s">
        <v>1834</v>
      </c>
      <c r="C1568" s="287" t="s">
        <v>180</v>
      </c>
      <c r="D1568" s="309">
        <v>125</v>
      </c>
      <c r="E1568" s="320" t="s">
        <v>2120</v>
      </c>
      <c r="F1568" s="290">
        <v>3579510687</v>
      </c>
      <c r="G1568" s="162" t="s">
        <v>43</v>
      </c>
      <c r="H1568" s="4"/>
      <c r="I1568" s="57" t="s">
        <v>2136</v>
      </c>
    </row>
    <row r="1569" spans="1:9" ht="63">
      <c r="A1569" s="238">
        <v>1567</v>
      </c>
      <c r="B1569" s="297" t="s">
        <v>1837</v>
      </c>
      <c r="C1569" s="298" t="s">
        <v>797</v>
      </c>
      <c r="D1569" s="303">
        <v>14</v>
      </c>
      <c r="E1569" s="327" t="s">
        <v>2121</v>
      </c>
      <c r="F1569" s="301">
        <v>179491</v>
      </c>
      <c r="G1569" s="162" t="s">
        <v>43</v>
      </c>
      <c r="H1569" s="4"/>
      <c r="I1569" s="57" t="s">
        <v>2136</v>
      </c>
    </row>
    <row r="1570" spans="1:9" ht="33">
      <c r="A1570" s="238">
        <v>1568</v>
      </c>
      <c r="B1570" s="297" t="s">
        <v>1837</v>
      </c>
      <c r="C1570" s="298" t="s">
        <v>797</v>
      </c>
      <c r="D1570" s="303">
        <v>40</v>
      </c>
      <c r="E1570" s="327" t="s">
        <v>2122</v>
      </c>
      <c r="F1570" s="301">
        <v>358304</v>
      </c>
      <c r="G1570" s="162" t="s">
        <v>43</v>
      </c>
      <c r="H1570" s="4"/>
      <c r="I1570" s="57" t="s">
        <v>2136</v>
      </c>
    </row>
    <row r="1571" spans="1:9" ht="47.25">
      <c r="A1571" s="238">
        <v>1569</v>
      </c>
      <c r="B1571" s="297" t="s">
        <v>1837</v>
      </c>
      <c r="C1571" s="298" t="s">
        <v>13</v>
      </c>
      <c r="D1571" s="303">
        <v>53</v>
      </c>
      <c r="E1571" s="327" t="s">
        <v>2123</v>
      </c>
      <c r="F1571" s="301">
        <v>41781830</v>
      </c>
      <c r="G1571" s="162" t="s">
        <v>43</v>
      </c>
      <c r="H1571" s="4"/>
      <c r="I1571" s="57" t="s">
        <v>2136</v>
      </c>
    </row>
    <row r="1572" spans="1:9" ht="47.25">
      <c r="A1572" s="238">
        <v>1570</v>
      </c>
      <c r="B1572" s="297" t="s">
        <v>1837</v>
      </c>
      <c r="C1572" s="298" t="s">
        <v>13</v>
      </c>
      <c r="D1572" s="303">
        <v>54</v>
      </c>
      <c r="E1572" s="327" t="s">
        <v>2124</v>
      </c>
      <c r="F1572" s="301">
        <v>3866030</v>
      </c>
      <c r="G1572" s="162" t="s">
        <v>43</v>
      </c>
      <c r="H1572" s="4"/>
      <c r="I1572" s="57" t="s">
        <v>2136</v>
      </c>
    </row>
    <row r="1573" spans="1:9" ht="47.25">
      <c r="A1573" s="238">
        <v>1571</v>
      </c>
      <c r="B1573" s="297" t="s">
        <v>1837</v>
      </c>
      <c r="C1573" s="298" t="s">
        <v>13</v>
      </c>
      <c r="D1573" s="303">
        <v>77</v>
      </c>
      <c r="E1573" s="327" t="s">
        <v>2125</v>
      </c>
      <c r="F1573" s="301" t="s">
        <v>2126</v>
      </c>
      <c r="G1573" s="162" t="s">
        <v>43</v>
      </c>
      <c r="H1573" s="4"/>
      <c r="I1573" s="57" t="s">
        <v>2136</v>
      </c>
    </row>
    <row r="1574" spans="1:9" ht="33">
      <c r="A1574" s="238">
        <v>1572</v>
      </c>
      <c r="B1574" s="297" t="s">
        <v>1839</v>
      </c>
      <c r="C1574" s="298" t="s">
        <v>13</v>
      </c>
      <c r="D1574" s="303">
        <v>52</v>
      </c>
      <c r="E1574" s="327" t="s">
        <v>2127</v>
      </c>
      <c r="F1574" s="310">
        <v>5998604</v>
      </c>
      <c r="G1574" s="162" t="s">
        <v>43</v>
      </c>
      <c r="H1574" s="4"/>
      <c r="I1574" s="57" t="s">
        <v>2136</v>
      </c>
    </row>
    <row r="1575" spans="1:9" ht="63">
      <c r="A1575" s="238">
        <v>1573</v>
      </c>
      <c r="B1575" s="297" t="s">
        <v>1839</v>
      </c>
      <c r="C1575" s="298" t="s">
        <v>13</v>
      </c>
      <c r="D1575" s="303">
        <v>71</v>
      </c>
      <c r="E1575" s="327" t="s">
        <v>2128</v>
      </c>
      <c r="F1575" s="301">
        <v>1998705</v>
      </c>
      <c r="G1575" s="162" t="s">
        <v>43</v>
      </c>
      <c r="H1575" s="4"/>
      <c r="I1575" s="57" t="s">
        <v>2136</v>
      </c>
    </row>
    <row r="1576" spans="1:9" ht="47.25">
      <c r="A1576" s="238">
        <v>1574</v>
      </c>
      <c r="B1576" s="297" t="s">
        <v>1842</v>
      </c>
      <c r="C1576" s="298" t="s">
        <v>2069</v>
      </c>
      <c r="D1576" s="300">
        <v>24</v>
      </c>
      <c r="E1576" s="327" t="s">
        <v>2129</v>
      </c>
      <c r="F1576" s="308"/>
      <c r="G1576" s="162" t="s">
        <v>43</v>
      </c>
      <c r="H1576" s="4"/>
      <c r="I1576" s="57" t="s">
        <v>2136</v>
      </c>
    </row>
    <row r="1577" spans="1:9" ht="47.25">
      <c r="A1577" s="238">
        <v>1575</v>
      </c>
      <c r="B1577" s="297" t="s">
        <v>1841</v>
      </c>
      <c r="C1577" s="298" t="s">
        <v>13</v>
      </c>
      <c r="D1577" s="300">
        <v>77</v>
      </c>
      <c r="E1577" s="305" t="s">
        <v>2130</v>
      </c>
      <c r="F1577" s="301">
        <v>603900981</v>
      </c>
      <c r="G1577" s="162" t="s">
        <v>43</v>
      </c>
      <c r="H1577" s="4"/>
      <c r="I1577" s="57" t="s">
        <v>2136</v>
      </c>
    </row>
    <row r="1578" spans="1:9" ht="47.25">
      <c r="A1578" s="238">
        <v>1576</v>
      </c>
      <c r="B1578" s="297" t="s">
        <v>1841</v>
      </c>
      <c r="C1578" s="298" t="s">
        <v>13</v>
      </c>
      <c r="D1578" s="300">
        <v>77</v>
      </c>
      <c r="E1578" s="328" t="s">
        <v>2131</v>
      </c>
      <c r="F1578" s="301">
        <v>300300530</v>
      </c>
      <c r="G1578" s="162" t="s">
        <v>43</v>
      </c>
      <c r="H1578" s="4"/>
      <c r="I1578" s="57" t="s">
        <v>2136</v>
      </c>
    </row>
    <row r="1579" spans="1:9" ht="47.25">
      <c r="A1579" s="238">
        <v>1577</v>
      </c>
      <c r="B1579" s="297" t="s">
        <v>1845</v>
      </c>
      <c r="C1579" s="302" t="s">
        <v>703</v>
      </c>
      <c r="D1579" s="253">
        <v>77</v>
      </c>
      <c r="E1579" s="325" t="s">
        <v>2132</v>
      </c>
      <c r="F1579" s="289">
        <v>545000</v>
      </c>
      <c r="G1579" s="162" t="s">
        <v>43</v>
      </c>
      <c r="H1579" s="4"/>
      <c r="I1579" s="57" t="s">
        <v>2136</v>
      </c>
    </row>
    <row r="1580" spans="1:9" ht="31.5">
      <c r="A1580" s="238">
        <v>1578</v>
      </c>
      <c r="B1580" s="330" t="s">
        <v>1843</v>
      </c>
      <c r="C1580" s="287" t="s">
        <v>180</v>
      </c>
      <c r="D1580" s="311">
        <v>132</v>
      </c>
      <c r="E1580" s="305" t="s">
        <v>2133</v>
      </c>
      <c r="F1580" s="345">
        <v>0</v>
      </c>
      <c r="G1580" s="162" t="s">
        <v>43</v>
      </c>
      <c r="H1580" s="4"/>
      <c r="I1580" s="57" t="s">
        <v>2136</v>
      </c>
    </row>
    <row r="1581" spans="1:9" ht="71.25">
      <c r="A1581" s="238">
        <v>1579</v>
      </c>
      <c r="B1581" s="330" t="s">
        <v>1843</v>
      </c>
      <c r="C1581" s="287" t="s">
        <v>180</v>
      </c>
      <c r="D1581" s="311">
        <v>133</v>
      </c>
      <c r="E1581" s="321" t="s">
        <v>2134</v>
      </c>
      <c r="F1581" s="346">
        <v>8831234481</v>
      </c>
      <c r="G1581" s="162" t="s">
        <v>43</v>
      </c>
      <c r="H1581" s="4"/>
      <c r="I1581" s="57" t="s">
        <v>2136</v>
      </c>
    </row>
    <row r="1582" spans="1:9" ht="86.25">
      <c r="A1582" s="238">
        <v>1580</v>
      </c>
      <c r="B1582" s="330" t="s">
        <v>1843</v>
      </c>
      <c r="C1582" s="287" t="s">
        <v>180</v>
      </c>
      <c r="D1582" s="311">
        <v>140</v>
      </c>
      <c r="E1582" s="348" t="s">
        <v>2135</v>
      </c>
      <c r="F1582" s="347">
        <v>131190104935</v>
      </c>
      <c r="G1582" s="162" t="s">
        <v>43</v>
      </c>
      <c r="H1582" s="4"/>
      <c r="I1582" s="57" t="s">
        <v>2136</v>
      </c>
    </row>
  </sheetData>
  <conditionalFormatting sqref="A2:H4 B5:H98 B704:B708">
    <cfRule type="expression" dxfId="37" priority="27">
      <formula>MOD(ROW(),2)=0</formula>
    </cfRule>
  </conditionalFormatting>
  <conditionalFormatting sqref="B741:B777">
    <cfRule type="expression" dxfId="36" priority="22">
      <formula>MOD(ROW(),2)=0</formula>
    </cfRule>
  </conditionalFormatting>
  <conditionalFormatting sqref="B99:D102 F99:F102">
    <cfRule type="expression" dxfId="35" priority="46">
      <formula>MOD(ROW(),2)=0</formula>
    </cfRule>
  </conditionalFormatting>
  <conditionalFormatting sqref="B103:F149">
    <cfRule type="expression" dxfId="34" priority="45">
      <formula>MOD(ROW(),2)=0</formula>
    </cfRule>
  </conditionalFormatting>
  <conditionalFormatting sqref="B472:F628 D629:F633 B629:C636 H637:H639">
    <cfRule type="expression" dxfId="33" priority="39" stopIfTrue="1">
      <formula>"MOD(ROW(),2)=0"</formula>
    </cfRule>
  </conditionalFormatting>
  <conditionalFormatting sqref="B645:F656">
    <cfRule type="expression" dxfId="32" priority="38" stopIfTrue="1">
      <formula>"MOD(ROW(),2)=0"</formula>
    </cfRule>
  </conditionalFormatting>
  <conditionalFormatting sqref="B660:F665 B666:D667 F666:F667 B668:F673 B678:F681 B682:D682 F682 B683:F685 B689:F694 B695:D695 F695 B696:F699 B703:F703 B709:F716 B724:F729 B733:F743">
    <cfRule type="expression" dxfId="31" priority="36">
      <formula>MOD(ROW(),2)=0</formula>
    </cfRule>
  </conditionalFormatting>
  <conditionalFormatting sqref="B778:F785 B788:F792 B803:F803 B805:F815 B817:F819 A5:A1582 H778:H797 H799:H826">
    <cfRule type="expression" dxfId="30" priority="48">
      <formula>MOD(ROW(),2)=0</formula>
    </cfRule>
  </conditionalFormatting>
  <conditionalFormatting sqref="B794:F801 B820">
    <cfRule type="expression" dxfId="29" priority="17">
      <formula>MOD(ROW(),2)=0</formula>
    </cfRule>
  </conditionalFormatting>
  <conditionalFormatting sqref="B1341:F1395 B1396:B1400 B1401:F1428 B1429:B1438 B1439:F1443 B1447:F1452 B1453:B1455 B1456:F1468">
    <cfRule type="expression" dxfId="28" priority="7">
      <formula>MOD(ROW(),2)=0</formula>
    </cfRule>
  </conditionalFormatting>
  <conditionalFormatting sqref="B1480:F1507 B1508:B1512 B1513:F1514 B1515:B1519 B1520:F1536 B1538:F1538">
    <cfRule type="expression" dxfId="27" priority="5">
      <formula>MOD(ROW(),2)=0</formula>
    </cfRule>
  </conditionalFormatting>
  <conditionalFormatting sqref="B1542:F1565 B1569:F1579">
    <cfRule type="expression" dxfId="26" priority="2">
      <formula>MOD(ROW(),2)=0</formula>
    </cfRule>
  </conditionalFormatting>
  <conditionalFormatting sqref="B1567:F1567 B1568">
    <cfRule type="expression" dxfId="25" priority="3">
      <formula>MOD(ROW(),2)=0</formula>
    </cfRule>
  </conditionalFormatting>
  <conditionalFormatting sqref="B963:I1340">
    <cfRule type="expression" dxfId="24" priority="1">
      <formula>MOD(ROW(),2)=0</formula>
    </cfRule>
  </conditionalFormatting>
  <conditionalFormatting sqref="C674:C677">
    <cfRule type="expression" dxfId="23" priority="18">
      <formula>MOD(ROW(),2)=0</formula>
    </cfRule>
  </conditionalFormatting>
  <conditionalFormatting sqref="E674">
    <cfRule type="expression" dxfId="22" priority="33">
      <formula>MOD(ROW(),2)=0</formula>
    </cfRule>
  </conditionalFormatting>
  <conditionalFormatting sqref="E686">
    <cfRule type="expression" dxfId="21" priority="31">
      <formula>MOD(ROW(),2)=0</formula>
    </cfRule>
  </conditionalFormatting>
  <conditionalFormatting sqref="E722">
    <cfRule type="expression" dxfId="20" priority="20">
      <formula>MOD(ROW(),2)=0</formula>
    </cfRule>
  </conditionalFormatting>
  <conditionalFormatting sqref="F3:F98">
    <cfRule type="duplicateValues" dxfId="19" priority="54"/>
  </conditionalFormatting>
  <conditionalFormatting sqref="F99:F149">
    <cfRule type="duplicateValues" dxfId="18" priority="47"/>
  </conditionalFormatting>
  <conditionalFormatting sqref="F733:F743 F703 F678:F685 F709:F716 F660:F673 F689:F699 F724:F729">
    <cfRule type="duplicateValues" dxfId="17" priority="37"/>
  </conditionalFormatting>
  <conditionalFormatting sqref="F817:F819 F803 F778:F785 F788:F792 F794:F801 F805:F815">
    <cfRule type="duplicateValues" dxfId="16" priority="16"/>
  </conditionalFormatting>
  <conditionalFormatting sqref="F1417">
    <cfRule type="duplicateValues" dxfId="15" priority="8"/>
  </conditionalFormatting>
  <conditionalFormatting sqref="F1480:F1484 F1439:F1443 F1401:F1416 F1456:F1468 F1447:F1452 F1341:F1395 F1418:F1428">
    <cfRule type="duplicateValues" dxfId="14" priority="9"/>
  </conditionalFormatting>
  <conditionalFormatting sqref="F1538 F1485:F1507 F1513:F1514 F1520:F1536">
    <cfRule type="duplicateValues" dxfId="13" priority="6"/>
  </conditionalFormatting>
  <conditionalFormatting sqref="F1569:F1579 F1567 F1543:F1565">
    <cfRule type="duplicateValues" dxfId="12" priority="4"/>
  </conditionalFormatting>
  <conditionalFormatting sqref="G99:G435">
    <cfRule type="expression" dxfId="11" priority="44">
      <formula>MOD(ROW(),2)=0</formula>
    </cfRule>
  </conditionalFormatting>
  <conditionalFormatting sqref="G472:G644">
    <cfRule type="expression" dxfId="10" priority="41">
      <formula>MOD(ROW(),2)=0</formula>
    </cfRule>
  </conditionalFormatting>
  <dataValidations count="2">
    <dataValidation type="list" allowBlank="1" showInputMessage="1" showErrorMessage="1" sqref="H3:H78" xr:uid="{50EAA8CD-CE29-4B26-A07F-369BF64D1539}">
      <formula1>$B$6:$B$16</formula1>
    </dataValidation>
    <dataValidation type="list" allowBlank="1" showInputMessage="1" showErrorMessage="1" sqref="H778:H797 H799:H826" xr:uid="{FE5F2B05-445C-4988-B016-4016096ADBE5}">
      <formula1>$B$7:$B$25</formula1>
    </dataValidation>
  </dataValidations>
  <pageMargins left="0.25" right="0.25" top="0.75" bottom="0.75" header="0.3" footer="0.3"/>
  <pageSetup paperSize="9" scale="64" fitToHeight="0" orientation="portrait" r:id="rId1"/>
  <headerFooter scaleWithDoc="0" alignWithMargins="0">
    <oddFooter xml:space="preserve">&amp;R&amp;"NikoshBAN,Regular"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93F32-1AD5-424E-B662-A768694F82DE}">
  <dimension ref="A1:I144"/>
  <sheetViews>
    <sheetView tabSelected="1" zoomScaleNormal="100" workbookViewId="0">
      <selection activeCell="K7" sqref="K7"/>
    </sheetView>
  </sheetViews>
  <sheetFormatPr defaultRowHeight="21.75" customHeight="1"/>
  <cols>
    <col min="1" max="1" width="7.28515625" style="25" customWidth="1"/>
    <col min="2" max="2" width="43.140625" customWidth="1"/>
    <col min="3" max="3" width="7" customWidth="1"/>
    <col min="4" max="4" width="7.140625" customWidth="1"/>
    <col min="5" max="5" width="7.140625" style="25" customWidth="1"/>
    <col min="6" max="6" width="11" style="25" customWidth="1"/>
    <col min="7" max="7" width="11.7109375" style="25" customWidth="1"/>
    <col min="8" max="9" width="9.28515625" style="25" customWidth="1"/>
  </cols>
  <sheetData>
    <row r="1" spans="1:9" ht="56.25" customHeight="1">
      <c r="A1" s="372" t="s">
        <v>227</v>
      </c>
      <c r="B1" s="373"/>
      <c r="C1" s="373"/>
      <c r="D1" s="373"/>
      <c r="E1" s="373"/>
      <c r="F1" s="373"/>
      <c r="G1" s="373"/>
      <c r="H1" s="373"/>
      <c r="I1" s="12"/>
    </row>
    <row r="2" spans="1:9" s="17" customFormat="1" ht="47.25">
      <c r="A2" s="9" t="s">
        <v>0</v>
      </c>
      <c r="B2" s="13" t="s">
        <v>1</v>
      </c>
      <c r="C2" s="14" t="s">
        <v>228</v>
      </c>
      <c r="D2" s="15" t="s">
        <v>229</v>
      </c>
      <c r="E2" s="13" t="s">
        <v>230</v>
      </c>
      <c r="F2" s="9" t="s">
        <v>231</v>
      </c>
      <c r="G2" s="9" t="s">
        <v>232</v>
      </c>
      <c r="H2" s="9" t="s">
        <v>233</v>
      </c>
      <c r="I2" s="9" t="s">
        <v>234</v>
      </c>
    </row>
    <row r="3" spans="1:9" ht="18">
      <c r="A3" s="19">
        <v>1</v>
      </c>
      <c r="B3" s="350" t="str">
        <f>Summary_Mymenshing!B3</f>
        <v>বিক্রয় ও বিতরণ বিভাগ, বিউবো, নেত্রকোনা</v>
      </c>
      <c r="C3" s="94">
        <f>Summary_Mymenshing!C3</f>
        <v>4</v>
      </c>
      <c r="D3" s="94">
        <f>Summary_Mymenshing!D3</f>
        <v>0</v>
      </c>
      <c r="E3" s="94">
        <f>Summary_Mymenshing!E3</f>
        <v>4</v>
      </c>
      <c r="F3" s="94">
        <f>Summary_Mymenshing!F3</f>
        <v>3</v>
      </c>
      <c r="G3" s="94">
        <f>Summary_Mymenshing!G3</f>
        <v>3</v>
      </c>
      <c r="H3" s="94">
        <f>Summary_Mymenshing!H3</f>
        <v>3</v>
      </c>
      <c r="I3" s="94">
        <f>Summary_Mymenshing!I3</f>
        <v>6</v>
      </c>
    </row>
    <row r="4" spans="1:9" ht="18">
      <c r="A4" s="19">
        <v>2</v>
      </c>
      <c r="B4" s="350" t="str">
        <f>Summary_Mymenshing!B4</f>
        <v>আঞ্চলিক পূর্ত নির্মাণ বিভাগ, বিউবো, ময়মনসিংহ</v>
      </c>
      <c r="C4" s="94">
        <f>Summary_Mymenshing!C4</f>
        <v>9</v>
      </c>
      <c r="D4" s="94">
        <f>Summary_Mymenshing!D4</f>
        <v>1</v>
      </c>
      <c r="E4" s="94">
        <f>Summary_Mymenshing!E4</f>
        <v>10</v>
      </c>
      <c r="F4" s="94">
        <f>Summary_Mymenshing!F4</f>
        <v>2</v>
      </c>
      <c r="G4" s="94">
        <f>Summary_Mymenshing!G4</f>
        <v>2</v>
      </c>
      <c r="H4" s="94">
        <f>Summary_Mymenshing!H4</f>
        <v>8</v>
      </c>
      <c r="I4" s="94">
        <f>Summary_Mymenshing!I4</f>
        <v>10</v>
      </c>
    </row>
    <row r="5" spans="1:9" ht="18">
      <c r="A5" s="19">
        <v>3</v>
      </c>
      <c r="B5" s="350" t="str">
        <f>Summary_Mymenshing!B5</f>
        <v>নির্বাহী প্রকৌশলী, বিক্রয় ও বিতরণ বিভাগ-২ (দক্ষিণ), বিউবো, ময়মনসিংহ</v>
      </c>
      <c r="C5" s="94">
        <f>Summary_Mymenshing!C5</f>
        <v>10</v>
      </c>
      <c r="D5" s="94">
        <f>Summary_Mymenshing!D5</f>
        <v>2</v>
      </c>
      <c r="E5" s="94">
        <f>Summary_Mymenshing!E5</f>
        <v>12</v>
      </c>
      <c r="F5" s="94">
        <f>Summary_Mymenshing!F5</f>
        <v>5</v>
      </c>
      <c r="G5" s="94">
        <f>Summary_Mymenshing!G5</f>
        <v>5</v>
      </c>
      <c r="H5" s="94">
        <f>Summary_Mymenshing!H5</f>
        <v>7</v>
      </c>
      <c r="I5" s="94">
        <f>Summary_Mymenshing!I5</f>
        <v>12</v>
      </c>
    </row>
    <row r="6" spans="1:9" ht="18">
      <c r="A6" s="19">
        <v>4</v>
      </c>
      <c r="B6" s="350" t="str">
        <f>Summary_Mymenshing!B6</f>
        <v>বিক্রয় ও বিতরণ বিভাগ-৩, বিউবো, ময়মনসিংহ</v>
      </c>
      <c r="C6" s="94">
        <f>Summary_Mymenshing!C6</f>
        <v>10</v>
      </c>
      <c r="D6" s="94">
        <f>Summary_Mymenshing!D6</f>
        <v>0</v>
      </c>
      <c r="E6" s="94">
        <f>Summary_Mymenshing!E6</f>
        <v>10</v>
      </c>
      <c r="F6" s="94">
        <f>Summary_Mymenshing!F6</f>
        <v>0</v>
      </c>
      <c r="G6" s="94">
        <f>Summary_Mymenshing!G6</f>
        <v>0</v>
      </c>
      <c r="H6" s="94">
        <f>Summary_Mymenshing!H6</f>
        <v>6</v>
      </c>
      <c r="I6" s="94">
        <f>Summary_Mymenshing!I6</f>
        <v>6</v>
      </c>
    </row>
    <row r="7" spans="1:9" ht="18">
      <c r="A7" s="19">
        <v>5</v>
      </c>
      <c r="B7" s="350" t="str">
        <f>Summary_Mymenshing!B7</f>
        <v>বিক্রয় ও বিতরণ বিভাগ-২, বিউবো, টাঙ্গাইল</v>
      </c>
      <c r="C7" s="94">
        <f>Summary_Mymenshing!C7</f>
        <v>6</v>
      </c>
      <c r="D7" s="94">
        <f>Summary_Mymenshing!D7</f>
        <v>1</v>
      </c>
      <c r="E7" s="94">
        <f>Summary_Mymenshing!E7</f>
        <v>7</v>
      </c>
      <c r="F7" s="94">
        <f>Summary_Mymenshing!F7</f>
        <v>1</v>
      </c>
      <c r="G7" s="94">
        <f>Summary_Mymenshing!G7</f>
        <v>1</v>
      </c>
      <c r="H7" s="94">
        <f>Summary_Mymenshing!H7</f>
        <v>5</v>
      </c>
      <c r="I7" s="94">
        <f>Summary_Mymenshing!I7</f>
        <v>6</v>
      </c>
    </row>
    <row r="8" spans="1:9" ht="18">
      <c r="A8" s="19">
        <v>6</v>
      </c>
      <c r="B8" s="350" t="str">
        <f>Summary_Mymenshing!B8</f>
        <v>নির্বাহী প্রকৌশলী, বিক্রয় ও বিতরণ বিভাগ, কিশোরগঞ্জ</v>
      </c>
      <c r="C8" s="94">
        <f>Summary_Mymenshing!C8</f>
        <v>1</v>
      </c>
      <c r="D8" s="94">
        <f>Summary_Mymenshing!D8</f>
        <v>1</v>
      </c>
      <c r="E8" s="94">
        <f>Summary_Mymenshing!E8</f>
        <v>2</v>
      </c>
      <c r="F8" s="94">
        <f>Summary_Mymenshing!F8</f>
        <v>1</v>
      </c>
      <c r="G8" s="94">
        <f>Summary_Mymenshing!G8</f>
        <v>1</v>
      </c>
      <c r="H8" s="94">
        <f>Summary_Mymenshing!H8</f>
        <v>0</v>
      </c>
      <c r="I8" s="94">
        <f>Summary_Mymenshing!I8</f>
        <v>1</v>
      </c>
    </row>
    <row r="9" spans="1:9" ht="18">
      <c r="A9" s="19">
        <v>7</v>
      </c>
      <c r="B9" s="350" t="str">
        <f>Summary_Mymenshing!B9</f>
        <v>প্রকল্প পরিচালক, বিদ্যুৎ ব্যবস্থা উন্নয়ন প্রকল্প, ময়মনসিংহ</v>
      </c>
      <c r="C9" s="94">
        <f>Summary_Mymenshing!C9</f>
        <v>19</v>
      </c>
      <c r="D9" s="94">
        <f>Summary_Mymenshing!D9</f>
        <v>3</v>
      </c>
      <c r="E9" s="94">
        <f>Summary_Mymenshing!E9</f>
        <v>22</v>
      </c>
      <c r="F9" s="94">
        <f>Summary_Mymenshing!F9</f>
        <v>7</v>
      </c>
      <c r="G9" s="94">
        <f>Summary_Mymenshing!G9</f>
        <v>7</v>
      </c>
      <c r="H9" s="94">
        <f>Summary_Mymenshing!H9</f>
        <v>12</v>
      </c>
      <c r="I9" s="94">
        <f>Summary_Mymenshing!I9</f>
        <v>19</v>
      </c>
    </row>
    <row r="10" spans="1:9" ht="18">
      <c r="A10" s="19">
        <v>8</v>
      </c>
      <c r="B10" s="350" t="str">
        <f>Summary_Mymenshing!B10</f>
        <v xml:space="preserve">নির্বাহী প্রকৌশলী, বিক্রয় ও বিতরন বিভাগ-১ (উত্তর), বিউবো, ময়মনসিংহ। </v>
      </c>
      <c r="C10" s="94">
        <f>Summary_Mymenshing!C10</f>
        <v>5</v>
      </c>
      <c r="D10" s="94">
        <f>Summary_Mymenshing!D10</f>
        <v>2</v>
      </c>
      <c r="E10" s="94">
        <f>Summary_Mymenshing!E10</f>
        <v>7</v>
      </c>
      <c r="F10" s="94">
        <f>Summary_Mymenshing!F10</f>
        <v>5</v>
      </c>
      <c r="G10" s="94">
        <f>Summary_Mymenshing!G10</f>
        <v>2</v>
      </c>
      <c r="H10" s="94">
        <f>Summary_Mymenshing!H10</f>
        <v>5</v>
      </c>
      <c r="I10" s="94">
        <f>Summary_Mymenshing!I10</f>
        <v>7</v>
      </c>
    </row>
    <row r="11" spans="1:9" ht="18">
      <c r="A11" s="19">
        <v>9</v>
      </c>
      <c r="B11" s="350" t="str">
        <f>Summary_Mymenshing!B11</f>
        <v>বিক্রয় ও বিতরণ বিভাগ -ত্রিশাল, বিউবো, ময়মনসিংহ</v>
      </c>
      <c r="C11" s="94">
        <f>Summary_Mymenshing!C11</f>
        <v>1</v>
      </c>
      <c r="D11" s="94">
        <f>Summary_Mymenshing!D11</f>
        <v>0</v>
      </c>
      <c r="E11" s="94">
        <f>Summary_Mymenshing!E11</f>
        <v>1</v>
      </c>
      <c r="F11" s="94">
        <f>Summary_Mymenshing!F11</f>
        <v>1</v>
      </c>
      <c r="G11" s="94">
        <f>Summary_Mymenshing!G11</f>
        <v>1</v>
      </c>
      <c r="H11" s="94">
        <f>Summary_Mymenshing!H11</f>
        <v>0</v>
      </c>
      <c r="I11" s="94">
        <f>Summary_Mymenshing!I11</f>
        <v>1</v>
      </c>
    </row>
    <row r="12" spans="1:9" ht="18">
      <c r="A12" s="19">
        <v>10</v>
      </c>
      <c r="B12" s="350" t="str">
        <f>Summary_Mymenshing!B12</f>
        <v xml:space="preserve">বিক্রয় ও বিতরণ বিভাগ -ভালুকা, বিউবো, ময়মনসিংহ 
</v>
      </c>
      <c r="C12" s="94">
        <f>Summary_Mymenshing!C12</f>
        <v>0</v>
      </c>
      <c r="D12" s="94">
        <f>Summary_Mymenshing!D12</f>
        <v>1</v>
      </c>
      <c r="E12" s="94">
        <f>Summary_Mymenshing!E12</f>
        <v>1</v>
      </c>
      <c r="F12" s="94">
        <f>Summary_Mymenshing!F12</f>
        <v>1</v>
      </c>
      <c r="G12" s="94">
        <f>Summary_Mymenshing!G12</f>
        <v>1</v>
      </c>
      <c r="H12" s="94">
        <f>Summary_Mymenshing!H12</f>
        <v>0</v>
      </c>
      <c r="I12" s="94">
        <f>Summary_Mymenshing!I12</f>
        <v>1</v>
      </c>
    </row>
    <row r="13" spans="1:9" ht="18">
      <c r="A13" s="19">
        <v>11</v>
      </c>
      <c r="B13" s="350" t="str">
        <f>Summary_Mymenshing!B13</f>
        <v xml:space="preserve">বিক্রয় ও বিতরণ বিভাগ, বিউবো, সখিপুর, টাঙ্গাইল </v>
      </c>
      <c r="C13" s="94">
        <f>Summary_Mymenshing!C13</f>
        <v>1</v>
      </c>
      <c r="D13" s="94">
        <f>Summary_Mymenshing!D13</f>
        <v>0</v>
      </c>
      <c r="E13" s="94">
        <f>Summary_Mymenshing!E13</f>
        <v>1</v>
      </c>
      <c r="F13" s="94">
        <f>Summary_Mymenshing!F13</f>
        <v>1</v>
      </c>
      <c r="G13" s="94">
        <f>Summary_Mymenshing!G13</f>
        <v>1</v>
      </c>
      <c r="H13" s="94">
        <f>Summary_Mymenshing!H13</f>
        <v>1</v>
      </c>
      <c r="I13" s="94">
        <f>Summary_Mymenshing!I13</f>
        <v>2</v>
      </c>
    </row>
    <row r="14" spans="1:9" ht="18">
      <c r="A14" s="19">
        <v>12</v>
      </c>
      <c r="B14" s="350" t="str">
        <f>Summary_Mymenshing!B14</f>
        <v>নির্বাহী প্রকৌশলী, বিক্রয় ও বিতরন বিভাগ-১, বিউবো, টাংগাইল।</v>
      </c>
      <c r="C14" s="94">
        <f>Summary_Mymenshing!C14</f>
        <v>15</v>
      </c>
      <c r="D14" s="94">
        <f>Summary_Mymenshing!D14</f>
        <v>6</v>
      </c>
      <c r="E14" s="94">
        <f>Summary_Mymenshing!E14</f>
        <v>21</v>
      </c>
      <c r="F14" s="94">
        <f>Summary_Mymenshing!F14</f>
        <v>12</v>
      </c>
      <c r="G14" s="94">
        <f>Summary_Mymenshing!G14</f>
        <v>9</v>
      </c>
      <c r="H14" s="94">
        <f>Summary_Mymenshing!H14</f>
        <v>7</v>
      </c>
      <c r="I14" s="94">
        <f>Summary_Mymenshing!I14</f>
        <v>16</v>
      </c>
    </row>
    <row r="15" spans="1:9" ht="18">
      <c r="A15" s="19">
        <v>13</v>
      </c>
      <c r="B15" s="350" t="str">
        <f>Summary_Mymenshing!B15</f>
        <v>আবাসিক প্রকৌশলী, গৌরীপুর বিদ্যুৎ সরবরাহ, বিউবেো, ময়মনসিংহ</v>
      </c>
      <c r="C15" s="94">
        <f>Summary_Mymenshing!C15</f>
        <v>1</v>
      </c>
      <c r="D15" s="94">
        <f>Summary_Mymenshing!D15</f>
        <v>0</v>
      </c>
      <c r="E15" s="94">
        <f>Summary_Mymenshing!E15</f>
        <v>1</v>
      </c>
      <c r="F15" s="94">
        <f>Summary_Mymenshing!F15</f>
        <v>0</v>
      </c>
      <c r="G15" s="94">
        <f>Summary_Mymenshing!G15</f>
        <v>0</v>
      </c>
      <c r="H15" s="94">
        <f>Summary_Mymenshing!H15</f>
        <v>1</v>
      </c>
      <c r="I15" s="94">
        <f>Summary_Mymenshing!I15</f>
        <v>1</v>
      </c>
    </row>
    <row r="16" spans="1:9" ht="18">
      <c r="A16" s="19">
        <v>14</v>
      </c>
      <c r="B16" s="350" t="str">
        <f>Summary_Mymenshing!B16</f>
        <v>আবাসিক প্রকৌশলী, ঈশ^রগঞ্জ বিদ্যুৎ সরবরাহ, বিউবো, ময়মনসিংহ</v>
      </c>
      <c r="C16" s="94">
        <f>Summary_Mymenshing!C16</f>
        <v>1</v>
      </c>
      <c r="D16" s="94">
        <f>Summary_Mymenshing!D16</f>
        <v>0</v>
      </c>
      <c r="E16" s="94">
        <f>Summary_Mymenshing!E16</f>
        <v>1</v>
      </c>
      <c r="F16" s="94">
        <f>Summary_Mymenshing!F16</f>
        <v>0</v>
      </c>
      <c r="G16" s="94">
        <f>Summary_Mymenshing!G16</f>
        <v>0</v>
      </c>
      <c r="H16" s="94">
        <f>Summary_Mymenshing!H16</f>
        <v>0</v>
      </c>
      <c r="I16" s="94">
        <f>Summary_Mymenshing!I16</f>
        <v>0</v>
      </c>
    </row>
    <row r="17" spans="1:9" ht="18">
      <c r="A17" s="19">
        <v>15</v>
      </c>
      <c r="B17" s="350" t="str">
        <f>Summary_Mymenshing!B17</f>
        <v xml:space="preserve">বিতরণ বিভাগ, বিউবো, জামালপুর </v>
      </c>
      <c r="C17" s="94">
        <f>Summary_Mymenshing!C17</f>
        <v>4</v>
      </c>
      <c r="D17" s="94">
        <f>Summary_Mymenshing!D17</f>
        <v>1</v>
      </c>
      <c r="E17" s="94">
        <f>Summary_Mymenshing!E17</f>
        <v>5</v>
      </c>
      <c r="F17" s="94">
        <f>Summary_Mymenshing!F17</f>
        <v>1</v>
      </c>
      <c r="G17" s="94">
        <f>Summary_Mymenshing!G17</f>
        <v>1</v>
      </c>
      <c r="H17" s="94">
        <f>Summary_Mymenshing!H17</f>
        <v>0</v>
      </c>
      <c r="I17" s="94">
        <f>Summary_Mymenshing!I17</f>
        <v>1</v>
      </c>
    </row>
    <row r="18" spans="1:9" ht="18">
      <c r="A18" s="19">
        <v>16</v>
      </c>
      <c r="B18" s="350" t="str">
        <f>Summary_Mymenshing!B18</f>
        <v xml:space="preserve">বিক্রয় ও বিতরণ বিভাগ, সরিষাবাড়ী, বিউবো, জামালপুর </v>
      </c>
      <c r="C18" s="94">
        <f>Summary_Mymenshing!C18</f>
        <v>3</v>
      </c>
      <c r="D18" s="94">
        <f>Summary_Mymenshing!D18</f>
        <v>2</v>
      </c>
      <c r="E18" s="94">
        <f>Summary_Mymenshing!E18</f>
        <v>5</v>
      </c>
      <c r="F18" s="94">
        <f>Summary_Mymenshing!F18</f>
        <v>5</v>
      </c>
      <c r="G18" s="94">
        <f>Summary_Mymenshing!G18</f>
        <v>4</v>
      </c>
      <c r="H18" s="94">
        <f>Summary_Mymenshing!H18</f>
        <v>1</v>
      </c>
      <c r="I18" s="94">
        <f>Summary_Mymenshing!I18</f>
        <v>5</v>
      </c>
    </row>
    <row r="19" spans="1:9" ht="18">
      <c r="A19" s="19">
        <v>17</v>
      </c>
      <c r="B19" s="350" t="str">
        <f>Summary_Mymenshing!B19</f>
        <v>নির্বাহী প্রকৌশলী, বিতরণ বিভাগ, বিউবো, শেরপুর।</v>
      </c>
      <c r="C19" s="94">
        <f>Summary_Mymenshing!C19</f>
        <v>3</v>
      </c>
      <c r="D19" s="94">
        <f>Summary_Mymenshing!D19</f>
        <v>0</v>
      </c>
      <c r="E19" s="94">
        <f>Summary_Mymenshing!E19</f>
        <v>3</v>
      </c>
      <c r="F19" s="94">
        <f>Summary_Mymenshing!F19</f>
        <v>2</v>
      </c>
      <c r="G19" s="94">
        <f>Summary_Mymenshing!G19</f>
        <v>1</v>
      </c>
      <c r="H19" s="94">
        <f>Summary_Mymenshing!H19</f>
        <v>2</v>
      </c>
      <c r="I19" s="94">
        <f>Summary_Mymenshing!I19</f>
        <v>3</v>
      </c>
    </row>
    <row r="20" spans="1:9" ht="18">
      <c r="A20" s="19">
        <v>18</v>
      </c>
      <c r="B20" s="350" t="str">
        <f>Summary_Mymenshing!B20</f>
        <v xml:space="preserve">বিক্রয় ও বিতরণ বিভাগ, বিউবো, ফুলপুর, ময়মনসিংহ </v>
      </c>
      <c r="C20" s="94">
        <f>Summary_Mymenshing!C20</f>
        <v>2</v>
      </c>
      <c r="D20" s="94">
        <f>Summary_Mymenshing!D20</f>
        <v>0</v>
      </c>
      <c r="E20" s="94">
        <f>Summary_Mymenshing!E20</f>
        <v>2</v>
      </c>
      <c r="F20" s="94">
        <f>Summary_Mymenshing!F20</f>
        <v>1</v>
      </c>
      <c r="G20" s="94">
        <f>Summary_Mymenshing!G20</f>
        <v>1</v>
      </c>
      <c r="H20" s="94">
        <f>Summary_Mymenshing!H20</f>
        <v>1</v>
      </c>
      <c r="I20" s="94">
        <f>Summary_Mymenshing!I20</f>
        <v>2</v>
      </c>
    </row>
    <row r="21" spans="1:9" ht="18">
      <c r="A21" s="19">
        <v>19</v>
      </c>
      <c r="B21" s="350" t="str">
        <f>Summary_Mymenshing!B21</f>
        <v>বিক্রয় ও বিতরণ বিভাগ, ঘাটাইল, বিউবো, টাঙ্গাইল</v>
      </c>
      <c r="C21" s="94">
        <f>Summary_Mymenshing!C21</f>
        <v>0</v>
      </c>
      <c r="D21" s="94">
        <f>Summary_Mymenshing!D21</f>
        <v>1</v>
      </c>
      <c r="E21" s="94">
        <f>Summary_Mymenshing!E21</f>
        <v>1</v>
      </c>
      <c r="F21" s="94">
        <f>Summary_Mymenshing!F21</f>
        <v>1</v>
      </c>
      <c r="G21" s="94">
        <f>Summary_Mymenshing!G21</f>
        <v>0</v>
      </c>
      <c r="H21" s="94">
        <f>Summary_Mymenshing!H21</f>
        <v>0</v>
      </c>
      <c r="I21" s="94">
        <f>Summary_Mymenshing!I21</f>
        <v>0</v>
      </c>
    </row>
    <row r="22" spans="1:9" ht="18">
      <c r="A22" s="19">
        <v>20</v>
      </c>
      <c r="B22" s="350" t="str">
        <f>Summary_Mymenshing!B22</f>
        <v>শান্তাহার  50মেঃওঃ পিকিংবিদ্যুৎ কেন্দ্র , বগুড়া।</v>
      </c>
      <c r="C22" s="94">
        <f>Summary_Mymenshing!C22</f>
        <v>5</v>
      </c>
      <c r="D22" s="94">
        <f>Summary_Mymenshing!D22</f>
        <v>0</v>
      </c>
      <c r="E22" s="94">
        <f>Summary_Mymenshing!E22</f>
        <v>5</v>
      </c>
      <c r="F22" s="94">
        <f>Summary_Mymenshing!F22</f>
        <v>0</v>
      </c>
      <c r="G22" s="94">
        <f>Summary_Mymenshing!G22</f>
        <v>0</v>
      </c>
      <c r="H22" s="94">
        <f>Summary_Mymenshing!H22</f>
        <v>4</v>
      </c>
      <c r="I22" s="94">
        <f>Summary_Mymenshing!I22</f>
        <v>4</v>
      </c>
    </row>
    <row r="23" spans="1:9" ht="18">
      <c r="A23" s="19">
        <v>21</v>
      </c>
      <c r="B23" s="350" t="str">
        <f>Summary_Mymenshing!B23</f>
        <v>কাটাখালী 50মেঃওঃ পিকিংবিদ্যুৎ কেন্দ্র , রাজশাহী</v>
      </c>
      <c r="C23" s="94">
        <f>Summary_Mymenshing!C23</f>
        <v>6</v>
      </c>
      <c r="D23" s="94">
        <f>Summary_Mymenshing!D23</f>
        <v>0</v>
      </c>
      <c r="E23" s="94">
        <f>Summary_Mymenshing!E23</f>
        <v>6</v>
      </c>
      <c r="F23" s="94">
        <f>Summary_Mymenshing!F23</f>
        <v>0</v>
      </c>
      <c r="G23" s="94">
        <f>Summary_Mymenshing!G23</f>
        <v>0</v>
      </c>
      <c r="H23" s="94">
        <f>Summary_Mymenshing!H23</f>
        <v>5</v>
      </c>
      <c r="I23" s="94">
        <f>Summary_Mymenshing!I23</f>
        <v>5</v>
      </c>
    </row>
    <row r="24" spans="1:9" ht="18">
      <c r="A24" s="19">
        <v>22</v>
      </c>
      <c r="B24" s="350" t="str">
        <f>Summary_Mymenshing!B24</f>
        <v>চাপাইনবাবগঞ্জ 100মেঃওঃ পিকিং বিদ্যুৎ কেন্দ্র,আমনুরা,চাপাইনবাবগঞ্জ</v>
      </c>
      <c r="C24" s="94">
        <f>Summary_Mymenshing!C24</f>
        <v>6</v>
      </c>
      <c r="D24" s="94">
        <f>Summary_Mymenshing!D24</f>
        <v>1</v>
      </c>
      <c r="E24" s="94">
        <f>Summary_Mymenshing!E24</f>
        <v>7</v>
      </c>
      <c r="F24" s="94">
        <f>Summary_Mymenshing!F24</f>
        <v>0</v>
      </c>
      <c r="G24" s="94">
        <f>Summary_Mymenshing!G24</f>
        <v>0</v>
      </c>
      <c r="H24" s="94">
        <f>Summary_Mymenshing!H24</f>
        <v>6</v>
      </c>
      <c r="I24" s="94">
        <f>Summary_Mymenshing!I24</f>
        <v>6</v>
      </c>
    </row>
    <row r="25" spans="1:9" ht="18">
      <c r="A25" s="19">
        <v>23</v>
      </c>
      <c r="B25" s="350" t="str">
        <f>Summary_Mymenshing!B25</f>
        <v>নির্বাহী প্রকৌশলী, পিসিপোল নির্মান কারখানা, নিলফামারী</v>
      </c>
      <c r="C25" s="94">
        <f>Summary_Mymenshing!C25</f>
        <v>5</v>
      </c>
      <c r="D25" s="94">
        <f>Summary_Mymenshing!D25</f>
        <v>0</v>
      </c>
      <c r="E25" s="94">
        <f>Summary_Mymenshing!E25</f>
        <v>5</v>
      </c>
      <c r="F25" s="94">
        <f>Summary_Mymenshing!F25</f>
        <v>0</v>
      </c>
      <c r="G25" s="94">
        <f>Summary_Mymenshing!G25</f>
        <v>0</v>
      </c>
      <c r="H25" s="94">
        <f>Summary_Mymenshing!H25</f>
        <v>4</v>
      </c>
      <c r="I25" s="94">
        <f>Summary_Mymenshing!I25</f>
        <v>4</v>
      </c>
    </row>
    <row r="26" spans="1:9" ht="18">
      <c r="A26" s="19">
        <v>24</v>
      </c>
      <c r="B26" s="350" t="str">
        <f>Summary_Mymenshing!B26</f>
        <v>নির্বাহী প্রকৌশলী,  বিক্রয় ও বিতরণ বিভাগ, বাজিতপুর, কিশোরগঞ্জ</v>
      </c>
      <c r="C26" s="94">
        <f>Summary_Mymenshing!C26</f>
        <v>2</v>
      </c>
      <c r="D26" s="94">
        <f>Summary_Mymenshing!D26</f>
        <v>0</v>
      </c>
      <c r="E26" s="94">
        <f>Summary_Mymenshing!E26</f>
        <v>2</v>
      </c>
      <c r="F26" s="94">
        <f>Summary_Mymenshing!F26</f>
        <v>1</v>
      </c>
      <c r="G26" s="94">
        <f>Summary_Mymenshing!G26</f>
        <v>1</v>
      </c>
      <c r="H26" s="94">
        <f>Summary_Mymenshing!H26</f>
        <v>0</v>
      </c>
      <c r="I26" s="94">
        <f>Summary_Mymenshing!I26</f>
        <v>1</v>
      </c>
    </row>
    <row r="27" spans="1:9" ht="18">
      <c r="A27" s="19">
        <v>25</v>
      </c>
      <c r="B27" s="350" t="str">
        <f>Summary_Mymenshing!B27</f>
        <v>নির্বাহী প্রকৌশলী,  বিক্রয় ও বিতরণ বিভাগ, কিশোরগঞ্জ</v>
      </c>
      <c r="C27" s="94">
        <f>Summary_Mymenshing!C27</f>
        <v>1</v>
      </c>
      <c r="D27" s="94">
        <f>Summary_Mymenshing!D27</f>
        <v>1</v>
      </c>
      <c r="E27" s="94">
        <f>Summary_Mymenshing!E27</f>
        <v>2</v>
      </c>
      <c r="F27" s="94">
        <f>Summary_Mymenshing!F27</f>
        <v>1</v>
      </c>
      <c r="G27" s="94">
        <f>Summary_Mymenshing!G27</f>
        <v>1</v>
      </c>
      <c r="H27" s="94">
        <f>Summary_Mymenshing!H27</f>
        <v>0</v>
      </c>
      <c r="I27" s="94">
        <f>Summary_Mymenshing!I27</f>
        <v>1</v>
      </c>
    </row>
    <row r="28" spans="1:9" ht="18">
      <c r="A28" s="19">
        <v>26</v>
      </c>
      <c r="B28" s="350" t="str">
        <f>Summary_Mymenshing!B28</f>
        <v>নির্বাহী প্রকৌশলী,  বিক্রয় ও বিতরণ বিভাগ, ভৈরব, কিশোরগঞ্জ</v>
      </c>
      <c r="C28" s="94">
        <f>Summary_Mymenshing!C28</f>
        <v>1</v>
      </c>
      <c r="D28" s="94">
        <f>Summary_Mymenshing!D28</f>
        <v>3</v>
      </c>
      <c r="E28" s="94">
        <f>Summary_Mymenshing!E28</f>
        <v>4</v>
      </c>
      <c r="F28" s="94">
        <f>Summary_Mymenshing!F28</f>
        <v>3</v>
      </c>
      <c r="G28" s="94">
        <f>Summary_Mymenshing!G28</f>
        <v>3</v>
      </c>
      <c r="H28" s="94">
        <f>Summary_Mymenshing!H28</f>
        <v>0</v>
      </c>
      <c r="I28" s="94">
        <f>Summary_Mymenshing!I28</f>
        <v>3</v>
      </c>
    </row>
    <row r="29" spans="1:9" ht="18">
      <c r="A29" s="19">
        <v>27</v>
      </c>
      <c r="B29" s="350" t="str">
        <f>Summary_Chittagong!B9</f>
        <v>প্রধান প্রকৌশলী দক্ষিণাঞ্চল চট্টগ্রাম</v>
      </c>
      <c r="C29" s="94">
        <f>Summary_Chittagong!C9</f>
        <v>0</v>
      </c>
      <c r="D29" s="94">
        <f>Summary_Chittagong!D9</f>
        <v>1</v>
      </c>
      <c r="E29" s="94">
        <f>Summary_Chittagong!E9</f>
        <v>1</v>
      </c>
      <c r="F29" s="94">
        <f>Summary_Chittagong!F9</f>
        <v>0</v>
      </c>
      <c r="G29" s="94">
        <f>Summary_Chittagong!G9</f>
        <v>0</v>
      </c>
      <c r="H29" s="94">
        <f>Summary_Chittagong!H9</f>
        <v>0</v>
      </c>
      <c r="I29" s="94">
        <f>Summary_Chittagong!I9</f>
        <v>0</v>
      </c>
    </row>
    <row r="30" spans="1:9" ht="18">
      <c r="A30" s="19">
        <v>28</v>
      </c>
      <c r="B30" s="350" t="str">
        <f>Summary_Chittagong!B10</f>
        <v>বিক্রয় ও বিতৰণ বিভাগ, কালুৰঘাট, চট্টগ্রাম</v>
      </c>
      <c r="C30" s="94">
        <f>Summary_Chittagong!C10</f>
        <v>2</v>
      </c>
      <c r="D30" s="94">
        <f>Summary_Chittagong!D10</f>
        <v>17</v>
      </c>
      <c r="E30" s="94">
        <f>Summary_Chittagong!E10</f>
        <v>19</v>
      </c>
      <c r="F30" s="94">
        <f>Summary_Chittagong!F10</f>
        <v>2</v>
      </c>
      <c r="G30" s="94">
        <f>Summary_Chittagong!G10</f>
        <v>2</v>
      </c>
      <c r="H30" s="94">
        <f>Summary_Chittagong!H10</f>
        <v>0</v>
      </c>
      <c r="I30" s="94">
        <f>Summary_Chittagong!I10</f>
        <v>2</v>
      </c>
    </row>
    <row r="31" spans="1:9" ht="18">
      <c r="A31" s="19">
        <v>29</v>
      </c>
      <c r="B31" s="350" t="str">
        <f>Summary_Chittagong!B11</f>
        <v>বিক্রয় ও বিতৰণ বিভাগ, পাথৰঘাটা, চট্টগ্রাম</v>
      </c>
      <c r="C31" s="94">
        <f>Summary_Chittagong!C11</f>
        <v>0</v>
      </c>
      <c r="D31" s="94">
        <f>Summary_Chittagong!D11</f>
        <v>9</v>
      </c>
      <c r="E31" s="94">
        <f>Summary_Chittagong!E11</f>
        <v>9</v>
      </c>
      <c r="F31" s="94">
        <f>Summary_Chittagong!F11</f>
        <v>0</v>
      </c>
      <c r="G31" s="94">
        <f>Summary_Chittagong!G11</f>
        <v>0</v>
      </c>
      <c r="H31" s="94">
        <f>Summary_Chittagong!H11</f>
        <v>4</v>
      </c>
      <c r="I31" s="94">
        <f>Summary_Chittagong!I11</f>
        <v>4</v>
      </c>
    </row>
    <row r="32" spans="1:9" ht="18">
      <c r="A32" s="19">
        <v>30</v>
      </c>
      <c r="B32" s="350" t="str">
        <f>Summary_Chittagong!B12</f>
        <v>বিক্রয় ও বিতৰণ বিভাগ, স্টেডিয়াম, চট্টগ্রাম</v>
      </c>
      <c r="C32" s="94">
        <f>Summary_Chittagong!C12</f>
        <v>1</v>
      </c>
      <c r="D32" s="94">
        <f>Summary_Chittagong!D12</f>
        <v>10</v>
      </c>
      <c r="E32" s="94">
        <f>Summary_Chittagong!E12</f>
        <v>11</v>
      </c>
      <c r="F32" s="94">
        <f>Summary_Chittagong!F12</f>
        <v>3</v>
      </c>
      <c r="G32" s="94">
        <f>Summary_Chittagong!G12</f>
        <v>3</v>
      </c>
      <c r="H32" s="94">
        <f>Summary_Chittagong!H12</f>
        <v>4</v>
      </c>
      <c r="I32" s="94">
        <f>Summary_Chittagong!I12</f>
        <v>7</v>
      </c>
    </row>
    <row r="33" spans="1:9" ht="18">
      <c r="A33" s="19">
        <v>31</v>
      </c>
      <c r="B33" s="350" t="str">
        <f>Summary_Chittagong!B13</f>
        <v>বিক্রয় ও বিতৰণ বিভাগ, ষোলশহৰ, চট্টগ্রাম</v>
      </c>
      <c r="C33" s="94">
        <f>Summary_Chittagong!C13</f>
        <v>2</v>
      </c>
      <c r="D33" s="94">
        <f>Summary_Chittagong!D13</f>
        <v>9</v>
      </c>
      <c r="E33" s="94">
        <f>Summary_Chittagong!E13</f>
        <v>11</v>
      </c>
      <c r="F33" s="94">
        <f>Summary_Chittagong!F13</f>
        <v>0</v>
      </c>
      <c r="G33" s="94">
        <f>Summary_Chittagong!G13</f>
        <v>0</v>
      </c>
      <c r="H33" s="94">
        <f>Summary_Chittagong!H13</f>
        <v>0</v>
      </c>
      <c r="I33" s="94">
        <f>Summary_Chittagong!I13</f>
        <v>0</v>
      </c>
    </row>
    <row r="34" spans="1:9" ht="18">
      <c r="A34" s="19">
        <v>32</v>
      </c>
      <c r="B34" s="350" t="str">
        <f>Summary_Chittagong!B14</f>
        <v>বিক্রয় ও বিতরণ বিভাগ, বাকলিয়া, চট্টগ্রাম</v>
      </c>
      <c r="C34" s="94">
        <f>Summary_Chittagong!C14</f>
        <v>0</v>
      </c>
      <c r="D34" s="94">
        <f>Summary_Chittagong!D14</f>
        <v>7</v>
      </c>
      <c r="E34" s="94">
        <f>Summary_Chittagong!E14</f>
        <v>7</v>
      </c>
      <c r="F34" s="94">
        <f>Summary_Chittagong!F14</f>
        <v>4</v>
      </c>
      <c r="G34" s="94">
        <f>Summary_Chittagong!G14</f>
        <v>2</v>
      </c>
      <c r="H34" s="94">
        <f>Summary_Chittagong!H14</f>
        <v>0</v>
      </c>
      <c r="I34" s="94">
        <f>Summary_Chittagong!I14</f>
        <v>2</v>
      </c>
    </row>
    <row r="35" spans="1:9" ht="18">
      <c r="A35" s="19">
        <v>33</v>
      </c>
      <c r="B35" s="350" t="str">
        <f>Summary_Chittagong!B15</f>
        <v>পরিচালন ও সংরক্ষণ সার্কেল চট্টঃমেট্রোঃ পশ্চিম</v>
      </c>
      <c r="C35" s="94">
        <f>Summary_Chittagong!C15</f>
        <v>0</v>
      </c>
      <c r="D35" s="94">
        <f>Summary_Chittagong!D15</f>
        <v>1</v>
      </c>
      <c r="E35" s="94">
        <f>Summary_Chittagong!E15</f>
        <v>1</v>
      </c>
      <c r="F35" s="94">
        <f>Summary_Chittagong!F15</f>
        <v>0</v>
      </c>
      <c r="G35" s="94">
        <f>Summary_Chittagong!G15</f>
        <v>0</v>
      </c>
      <c r="H35" s="94">
        <f>Summary_Chittagong!H15</f>
        <v>0</v>
      </c>
      <c r="I35" s="94">
        <f>Summary_Chittagong!I15</f>
        <v>0</v>
      </c>
    </row>
    <row r="36" spans="1:9" ht="18">
      <c r="A36" s="19">
        <v>34</v>
      </c>
      <c r="B36" s="350" t="str">
        <f>Summary_Chittagong!B16</f>
        <v>বিক্রয় ও বিতরণ বিভাগ, আগ্রাবাদ, চট্টগ্রাম</v>
      </c>
      <c r="C36" s="94">
        <f>Summary_Chittagong!C16</f>
        <v>1</v>
      </c>
      <c r="D36" s="94">
        <f>Summary_Chittagong!D16</f>
        <v>8</v>
      </c>
      <c r="E36" s="94">
        <f>Summary_Chittagong!E16</f>
        <v>9</v>
      </c>
      <c r="F36" s="94">
        <f>Summary_Chittagong!F16</f>
        <v>0</v>
      </c>
      <c r="G36" s="94">
        <f>Summary_Chittagong!G16</f>
        <v>0</v>
      </c>
      <c r="H36" s="94">
        <f>Summary_Chittagong!H16</f>
        <v>0</v>
      </c>
      <c r="I36" s="94">
        <f>Summary_Chittagong!I16</f>
        <v>0</v>
      </c>
    </row>
    <row r="37" spans="1:9" ht="18">
      <c r="A37" s="19">
        <v>35</v>
      </c>
      <c r="B37" s="350" t="str">
        <f>Summary_Chittagong!B17</f>
        <v>বিক্রয় ও বিতরণ বিভাগ, খুলশী, চট্টগ্রাম</v>
      </c>
      <c r="C37" s="94">
        <f>Summary_Chittagong!C17</f>
        <v>1</v>
      </c>
      <c r="D37" s="94">
        <f>Summary_Chittagong!D17</f>
        <v>25</v>
      </c>
      <c r="E37" s="94">
        <f>Summary_Chittagong!E17</f>
        <v>26</v>
      </c>
      <c r="F37" s="94">
        <f>Summary_Chittagong!F17</f>
        <v>5</v>
      </c>
      <c r="G37" s="94">
        <f>Summary_Chittagong!G17</f>
        <v>1</v>
      </c>
      <c r="H37" s="94">
        <f>Summary_Chittagong!H17</f>
        <v>12</v>
      </c>
      <c r="I37" s="94">
        <f>Summary_Chittagong!I17</f>
        <v>13</v>
      </c>
    </row>
    <row r="38" spans="1:9" ht="18">
      <c r="A38" s="19">
        <v>36</v>
      </c>
      <c r="B38" s="350" t="str">
        <f>Summary_Chittagong!B18</f>
        <v>বিক্রয় ও বিতরণ বিভাগ, পাহাড়তলী, চট্টগ্রাম</v>
      </c>
      <c r="C38" s="94">
        <f>Summary_Chittagong!C18</f>
        <v>2</v>
      </c>
      <c r="D38" s="94">
        <f>Summary_Chittagong!D18</f>
        <v>4</v>
      </c>
      <c r="E38" s="94">
        <f>Summary_Chittagong!E18</f>
        <v>6</v>
      </c>
      <c r="F38" s="94">
        <f>Summary_Chittagong!F18</f>
        <v>0</v>
      </c>
      <c r="G38" s="94">
        <f>Summary_Chittagong!G18</f>
        <v>0</v>
      </c>
      <c r="H38" s="94">
        <f>Summary_Chittagong!H18</f>
        <v>3</v>
      </c>
      <c r="I38" s="94">
        <f>Summary_Chittagong!I18</f>
        <v>3</v>
      </c>
    </row>
    <row r="39" spans="1:9" ht="18">
      <c r="A39" s="19">
        <v>37</v>
      </c>
      <c r="B39" s="350" t="str">
        <f>Summary_Chittagong!B19</f>
        <v>বিক্রয় ও বিতরণ বিভাগ, হালিশহর, চট্টগ্রাম</v>
      </c>
      <c r="C39" s="94">
        <f>Summary_Chittagong!C19</f>
        <v>3</v>
      </c>
      <c r="D39" s="94">
        <f>Summary_Chittagong!D19</f>
        <v>21</v>
      </c>
      <c r="E39" s="94">
        <f>Summary_Chittagong!E19</f>
        <v>24</v>
      </c>
      <c r="F39" s="94">
        <f>Summary_Chittagong!F19</f>
        <v>0</v>
      </c>
      <c r="G39" s="94">
        <f>Summary_Chittagong!G19</f>
        <v>0</v>
      </c>
      <c r="H39" s="94">
        <f>Summary_Chittagong!H19</f>
        <v>4</v>
      </c>
      <c r="I39" s="94">
        <f>Summary_Chittagong!I19</f>
        <v>4</v>
      </c>
    </row>
    <row r="40" spans="1:9" ht="18">
      <c r="A40" s="19">
        <v>38</v>
      </c>
      <c r="B40" s="350" t="str">
        <f>Summary_Chittagong!B20</f>
        <v>বিক্রয় ও বিতরণ বিভাগ, নিউমুরিং, চট্টগ্রাম</v>
      </c>
      <c r="C40" s="94">
        <f>Summary_Chittagong!C20</f>
        <v>1</v>
      </c>
      <c r="D40" s="94">
        <f>Summary_Chittagong!D20</f>
        <v>6</v>
      </c>
      <c r="E40" s="94">
        <f>Summary_Chittagong!E20</f>
        <v>7</v>
      </c>
      <c r="F40" s="94">
        <f>Summary_Chittagong!F20</f>
        <v>0</v>
      </c>
      <c r="G40" s="94">
        <f>Summary_Chittagong!G20</f>
        <v>0</v>
      </c>
      <c r="H40" s="94">
        <f>Summary_Chittagong!H20</f>
        <v>4</v>
      </c>
      <c r="I40" s="94">
        <f>Summary_Chittagong!I20</f>
        <v>4</v>
      </c>
    </row>
    <row r="41" spans="1:9" ht="18">
      <c r="A41" s="19">
        <v>39</v>
      </c>
      <c r="B41" s="350" t="str">
        <f>Summary_Chittagong!B21</f>
        <v>বিক্রয় ও বিতরণ বিভাগ, রামপুর, চট্টগ্রাম</v>
      </c>
      <c r="C41" s="94">
        <f>Summary_Chittagong!C21</f>
        <v>0</v>
      </c>
      <c r="D41" s="94">
        <f>Summary_Chittagong!D21</f>
        <v>4</v>
      </c>
      <c r="E41" s="94">
        <f>Summary_Chittagong!E21</f>
        <v>4</v>
      </c>
      <c r="F41" s="94">
        <f>Summary_Chittagong!F21</f>
        <v>3</v>
      </c>
      <c r="G41" s="94">
        <f>Summary_Chittagong!G21</f>
        <v>2</v>
      </c>
      <c r="H41" s="94">
        <f>Summary_Chittagong!H21</f>
        <v>0</v>
      </c>
      <c r="I41" s="94">
        <f>Summary_Chittagong!I21</f>
        <v>2</v>
      </c>
    </row>
    <row r="42" spans="1:9" ht="18">
      <c r="A42" s="19">
        <v>40</v>
      </c>
      <c r="B42" s="350" t="str">
        <f>Summary_Chittagong!B22</f>
        <v>বিক্রয় ও বিতরণ বিভাগ, ফৌজদারহাট, চট্টগ্রাম</v>
      </c>
      <c r="C42" s="94">
        <f>Summary_Chittagong!C22</f>
        <v>0</v>
      </c>
      <c r="D42" s="94">
        <f>Summary_Chittagong!D22</f>
        <v>9</v>
      </c>
      <c r="E42" s="94">
        <f>Summary_Chittagong!E22</f>
        <v>9</v>
      </c>
      <c r="F42" s="94">
        <f>Summary_Chittagong!F22</f>
        <v>2</v>
      </c>
      <c r="G42" s="94">
        <f>Summary_Chittagong!G22</f>
        <v>2</v>
      </c>
      <c r="H42" s="94">
        <f>Summary_Chittagong!H22</f>
        <v>0</v>
      </c>
      <c r="I42" s="94">
        <f>Summary_Chittagong!I22</f>
        <v>2</v>
      </c>
    </row>
    <row r="43" spans="1:9" ht="18">
      <c r="A43" s="19">
        <v>41</v>
      </c>
      <c r="B43" s="350" t="str">
        <f>Summary_Chittagong!B23</f>
        <v>বিক্রয় ও বিতরণ বিভাগ, হাটহাজারী, চট্টগ্রাম</v>
      </c>
      <c r="C43" s="94">
        <f>Summary_Chittagong!C23</f>
        <v>1</v>
      </c>
      <c r="D43" s="94">
        <f>Summary_Chittagong!D23</f>
        <v>10</v>
      </c>
      <c r="E43" s="94">
        <f>Summary_Chittagong!E23</f>
        <v>11</v>
      </c>
      <c r="F43" s="94">
        <f>Summary_Chittagong!F23</f>
        <v>5</v>
      </c>
      <c r="G43" s="94">
        <f>Summary_Chittagong!G23</f>
        <v>3</v>
      </c>
      <c r="H43" s="94">
        <f>Summary_Chittagong!H23</f>
        <v>0</v>
      </c>
      <c r="I43" s="94">
        <f>Summary_Chittagong!I23</f>
        <v>3</v>
      </c>
    </row>
    <row r="44" spans="1:9" ht="18">
      <c r="A44" s="19">
        <v>42</v>
      </c>
      <c r="B44" s="350" t="str">
        <f>Summary_Chittagong!B24</f>
        <v>বিক্রয় ও বিতরণ বিভাগ, মোহরা, চট্টগ্রাম</v>
      </c>
      <c r="C44" s="94">
        <f>Summary_Chittagong!C24</f>
        <v>0</v>
      </c>
      <c r="D44" s="94">
        <f>Summary_Chittagong!D24</f>
        <v>1</v>
      </c>
      <c r="E44" s="94">
        <f>Summary_Chittagong!E24</f>
        <v>1</v>
      </c>
      <c r="F44" s="94">
        <f>Summary_Chittagong!F24</f>
        <v>0</v>
      </c>
      <c r="G44" s="94">
        <f>Summary_Chittagong!G24</f>
        <v>0</v>
      </c>
      <c r="H44" s="94">
        <f>Summary_Chittagong!H24</f>
        <v>1</v>
      </c>
      <c r="I44" s="94">
        <f>Summary_Chittagong!I24</f>
        <v>1</v>
      </c>
    </row>
    <row r="45" spans="1:9" ht="18">
      <c r="A45" s="19">
        <v>43</v>
      </c>
      <c r="B45" s="350" t="str">
        <f>Summary_Chittagong!B25</f>
        <v>বিক্রয় ও বিতরণ বিভাগ, পটিয়া, চট্টগ্রাম</v>
      </c>
      <c r="C45" s="94">
        <f>Summary_Chittagong!C25</f>
        <v>1</v>
      </c>
      <c r="D45" s="94">
        <f>Summary_Chittagong!D25</f>
        <v>10</v>
      </c>
      <c r="E45" s="94">
        <f>Summary_Chittagong!E25</f>
        <v>11</v>
      </c>
      <c r="F45" s="94">
        <f>Summary_Chittagong!F25</f>
        <v>0</v>
      </c>
      <c r="G45" s="94">
        <f>Summary_Chittagong!G25</f>
        <v>0</v>
      </c>
      <c r="H45" s="94">
        <f>Summary_Chittagong!H25</f>
        <v>0</v>
      </c>
      <c r="I45" s="94">
        <f>Summary_Chittagong!I25</f>
        <v>0</v>
      </c>
    </row>
    <row r="46" spans="1:9" ht="18">
      <c r="A46" s="19">
        <v>44</v>
      </c>
      <c r="B46" s="350" t="str">
        <f>Summary_Chittagong!B26</f>
        <v>দোহাজারী বিদ্যুৎ সরবরাহ, চট্টগ্রাম</v>
      </c>
      <c r="C46" s="94">
        <f>Summary_Chittagong!C26</f>
        <v>0</v>
      </c>
      <c r="D46" s="94">
        <f>Summary_Chittagong!D26</f>
        <v>1</v>
      </c>
      <c r="E46" s="94">
        <f>Summary_Chittagong!E26</f>
        <v>1</v>
      </c>
      <c r="F46" s="94">
        <f>Summary_Chittagong!F26</f>
        <v>0</v>
      </c>
      <c r="G46" s="94">
        <f>Summary_Chittagong!G26</f>
        <v>0</v>
      </c>
      <c r="H46" s="94">
        <f>Summary_Chittagong!H26</f>
        <v>0</v>
      </c>
      <c r="I46" s="94">
        <f>Summary_Chittagong!I26</f>
        <v>0</v>
      </c>
    </row>
    <row r="47" spans="1:9" ht="18">
      <c r="A47" s="19">
        <v>45</v>
      </c>
      <c r="B47" s="350" t="str">
        <f>Summary_Chittagong!B27</f>
        <v>বিক্রয় ও বিতরণ বিভাগ, কক্সবাজার</v>
      </c>
      <c r="C47" s="94">
        <f>Summary_Chittagong!C27</f>
        <v>5</v>
      </c>
      <c r="D47" s="94">
        <f>Summary_Chittagong!D27</f>
        <v>16</v>
      </c>
      <c r="E47" s="94">
        <f>Summary_Chittagong!E27</f>
        <v>21</v>
      </c>
      <c r="F47" s="94">
        <f>Summary_Chittagong!F27</f>
        <v>4</v>
      </c>
      <c r="G47" s="94">
        <f>Summary_Chittagong!G27</f>
        <v>2</v>
      </c>
      <c r="H47" s="94">
        <f>Summary_Chittagong!H27</f>
        <v>0</v>
      </c>
      <c r="I47" s="94">
        <f>Summary_Chittagong!I27</f>
        <v>2</v>
      </c>
    </row>
    <row r="48" spans="1:9" ht="18">
      <c r="A48" s="19">
        <v>46</v>
      </c>
      <c r="B48" s="350" t="str">
        <f>Summary_Chittagong!B28</f>
        <v>চকোরিয়া বিদ্যুৎ সরবরাহ</v>
      </c>
      <c r="C48" s="94">
        <f>Summary_Chittagong!C28</f>
        <v>0</v>
      </c>
      <c r="D48" s="94">
        <f>Summary_Chittagong!D28</f>
        <v>1</v>
      </c>
      <c r="E48" s="94">
        <f>Summary_Chittagong!E28</f>
        <v>1</v>
      </c>
      <c r="F48" s="94">
        <f>Summary_Chittagong!F28</f>
        <v>0</v>
      </c>
      <c r="G48" s="94">
        <f>Summary_Chittagong!G28</f>
        <v>0</v>
      </c>
      <c r="H48" s="94">
        <f>Summary_Chittagong!H28</f>
        <v>0</v>
      </c>
      <c r="I48" s="94">
        <f>Summary_Chittagong!I28</f>
        <v>0</v>
      </c>
    </row>
    <row r="49" spans="1:9" ht="18">
      <c r="A49" s="19">
        <v>47</v>
      </c>
      <c r="B49" s="350" t="str">
        <f>Summary_Chittagong!B29</f>
        <v>রামু বিদ্যুৎ সরবরাহ</v>
      </c>
      <c r="C49" s="94">
        <f>Summary_Chittagong!C29</f>
        <v>0</v>
      </c>
      <c r="D49" s="94">
        <f>Summary_Chittagong!D29</f>
        <v>2</v>
      </c>
      <c r="E49" s="94">
        <f>Summary_Chittagong!E29</f>
        <v>2</v>
      </c>
      <c r="F49" s="94">
        <f>Summary_Chittagong!F29</f>
        <v>0</v>
      </c>
      <c r="G49" s="94">
        <f>Summary_Chittagong!G29</f>
        <v>0</v>
      </c>
      <c r="H49" s="94">
        <f>Summary_Chittagong!H29</f>
        <v>0</v>
      </c>
      <c r="I49" s="94">
        <f>Summary_Chittagong!I29</f>
        <v>0</v>
      </c>
    </row>
    <row r="50" spans="1:9" ht="18">
      <c r="A50" s="19">
        <v>48</v>
      </c>
      <c r="B50" s="350" t="str">
        <f>Summary_Chittagong!B30</f>
        <v>লামা বিদ্যুৎ সরবরাহ</v>
      </c>
      <c r="C50" s="94">
        <f>Summary_Chittagong!C30</f>
        <v>0</v>
      </c>
      <c r="D50" s="94">
        <f>Summary_Chittagong!D30</f>
        <v>1</v>
      </c>
      <c r="E50" s="94">
        <f>Summary_Chittagong!E30</f>
        <v>1</v>
      </c>
      <c r="F50" s="94">
        <f>Summary_Chittagong!F30</f>
        <v>0</v>
      </c>
      <c r="G50" s="94">
        <f>Summary_Chittagong!G30</f>
        <v>0</v>
      </c>
      <c r="H50" s="94">
        <f>Summary_Chittagong!H30</f>
        <v>0</v>
      </c>
      <c r="I50" s="94">
        <f>Summary_Chittagong!I30</f>
        <v>0</v>
      </c>
    </row>
    <row r="51" spans="1:9" ht="18">
      <c r="A51" s="19">
        <v>49</v>
      </c>
      <c r="B51" s="350" t="str">
        <f>Summary_Chittagong!B31</f>
        <v>কুতুবদিয়া বিদ্যুৎ সরবরাহ</v>
      </c>
      <c r="C51" s="94">
        <f>Summary_Chittagong!C31</f>
        <v>0</v>
      </c>
      <c r="D51" s="94">
        <f>Summary_Chittagong!D31</f>
        <v>2</v>
      </c>
      <c r="E51" s="94">
        <f>Summary_Chittagong!E31</f>
        <v>2</v>
      </c>
      <c r="F51" s="94">
        <f>Summary_Chittagong!F31</f>
        <v>0</v>
      </c>
      <c r="G51" s="94">
        <f>Summary_Chittagong!G31</f>
        <v>0</v>
      </c>
      <c r="H51" s="94">
        <f>Summary_Chittagong!H31</f>
        <v>0</v>
      </c>
      <c r="I51" s="94">
        <f>Summary_Chittagong!I31</f>
        <v>0</v>
      </c>
    </row>
    <row r="52" spans="1:9" ht="18">
      <c r="A52" s="19">
        <v>50</v>
      </c>
      <c r="B52" s="350" t="str">
        <f>Summary_Chittagong!B32</f>
        <v>বিক্রয় ও বিতরণ বিভাগ, রাঙ্গামাটি</v>
      </c>
      <c r="C52" s="94">
        <f>Summary_Chittagong!C32</f>
        <v>1</v>
      </c>
      <c r="D52" s="94">
        <f>Summary_Chittagong!D32</f>
        <v>14</v>
      </c>
      <c r="E52" s="94">
        <f>Summary_Chittagong!E32</f>
        <v>15</v>
      </c>
      <c r="F52" s="94">
        <f>Summary_Chittagong!F32</f>
        <v>4</v>
      </c>
      <c r="G52" s="94">
        <f>Summary_Chittagong!G32</f>
        <v>3</v>
      </c>
      <c r="H52" s="94">
        <f>Summary_Chittagong!H32</f>
        <v>0</v>
      </c>
      <c r="I52" s="94">
        <f>Summary_Chittagong!I32</f>
        <v>3</v>
      </c>
    </row>
    <row r="53" spans="1:9" ht="18">
      <c r="A53" s="19">
        <v>51</v>
      </c>
      <c r="B53" s="350" t="str">
        <f>Summary_Chittagong!B33</f>
        <v>বিক্রয় ও বিতরণ বিভাগ, খাগড়াছড়ি</v>
      </c>
      <c r="C53" s="94">
        <f>Summary_Chittagong!C33</f>
        <v>1</v>
      </c>
      <c r="D53" s="94">
        <f>Summary_Chittagong!D33</f>
        <v>4</v>
      </c>
      <c r="E53" s="94">
        <f>Summary_Chittagong!E33</f>
        <v>5</v>
      </c>
      <c r="F53" s="94">
        <f>Summary_Chittagong!F33</f>
        <v>0</v>
      </c>
      <c r="G53" s="94">
        <f>Summary_Chittagong!G33</f>
        <v>0</v>
      </c>
      <c r="H53" s="94">
        <f>Summary_Chittagong!H33</f>
        <v>0</v>
      </c>
      <c r="I53" s="94">
        <f>Summary_Chittagong!I33</f>
        <v>0</v>
      </c>
    </row>
    <row r="54" spans="1:9" ht="18">
      <c r="A54" s="19">
        <v>52</v>
      </c>
      <c r="B54" s="350" t="str">
        <f>Summary_Chittagong!B34</f>
        <v>রামগড় বিদ্যুৎ সরবরাহ</v>
      </c>
      <c r="C54" s="94">
        <f>Summary_Chittagong!C34</f>
        <v>0</v>
      </c>
      <c r="D54" s="94">
        <f>Summary_Chittagong!D34</f>
        <v>1</v>
      </c>
      <c r="E54" s="94">
        <f>Summary_Chittagong!E34</f>
        <v>1</v>
      </c>
      <c r="F54" s="94">
        <f>Summary_Chittagong!F34</f>
        <v>0</v>
      </c>
      <c r="G54" s="94">
        <f>Summary_Chittagong!G34</f>
        <v>0</v>
      </c>
      <c r="H54" s="94">
        <f>Summary_Chittagong!H34</f>
        <v>0</v>
      </c>
      <c r="I54" s="94">
        <f>Summary_Chittagong!I34</f>
        <v>0</v>
      </c>
    </row>
    <row r="55" spans="1:9" ht="18">
      <c r="A55" s="19">
        <v>53</v>
      </c>
      <c r="B55" s="350" t="str">
        <f>Summary_Chittagong!B35</f>
        <v>বিক্রয় ও বিতরণ বিভাগ, বান্দরবান</v>
      </c>
      <c r="C55" s="94">
        <f>Summary_Chittagong!C35</f>
        <v>2</v>
      </c>
      <c r="D55" s="94">
        <f>Summary_Chittagong!D35</f>
        <v>5</v>
      </c>
      <c r="E55" s="94">
        <f>Summary_Chittagong!E35</f>
        <v>7</v>
      </c>
      <c r="F55" s="94">
        <f>Summary_Chittagong!F35</f>
        <v>0</v>
      </c>
      <c r="G55" s="94">
        <f>Summary_Chittagong!G35</f>
        <v>0</v>
      </c>
      <c r="H55" s="94">
        <f>Summary_Chittagong!H35</f>
        <v>0</v>
      </c>
      <c r="I55" s="94">
        <f>Summary_Chittagong!I35</f>
        <v>0</v>
      </c>
    </row>
    <row r="56" spans="1:9" ht="18">
      <c r="A56" s="19">
        <v>54</v>
      </c>
      <c r="B56" s="350" t="str">
        <f>Summary_Chittagong!B36</f>
        <v>স্ক্যডা পরিচালন বিভাগ</v>
      </c>
      <c r="C56" s="94">
        <f>Summary_Chittagong!C36</f>
        <v>0</v>
      </c>
      <c r="D56" s="94">
        <f>Summary_Chittagong!D36</f>
        <v>1</v>
      </c>
      <c r="E56" s="94">
        <f>Summary_Chittagong!E36</f>
        <v>1</v>
      </c>
      <c r="F56" s="94">
        <f>Summary_Chittagong!F36</f>
        <v>0</v>
      </c>
      <c r="G56" s="94">
        <f>Summary_Chittagong!G36</f>
        <v>0</v>
      </c>
      <c r="H56" s="94">
        <f>Summary_Chittagong!H36</f>
        <v>0</v>
      </c>
      <c r="I56" s="94">
        <f>Summary_Chittagong!I36</f>
        <v>0</v>
      </c>
    </row>
    <row r="57" spans="1:9" ht="18">
      <c r="A57" s="19">
        <v>55</v>
      </c>
      <c r="B57" s="350" t="str">
        <f>Summary_Chittagong!B37</f>
        <v>কেন্দ্রীয় ভান্ডার, চট্টগ্রাম</v>
      </c>
      <c r="C57" s="94">
        <f>Summary_Chittagong!C37</f>
        <v>0</v>
      </c>
      <c r="D57" s="94">
        <f>Summary_Chittagong!D37</f>
        <v>3</v>
      </c>
      <c r="E57" s="94">
        <f>Summary_Chittagong!E37</f>
        <v>3</v>
      </c>
      <c r="F57" s="94">
        <f>Summary_Chittagong!F37</f>
        <v>0</v>
      </c>
      <c r="G57" s="94">
        <f>Summary_Chittagong!G37</f>
        <v>0</v>
      </c>
      <c r="H57" s="94">
        <f>Summary_Chittagong!H37</f>
        <v>0</v>
      </c>
      <c r="I57" s="94">
        <f>Summary_Chittagong!I37</f>
        <v>0</v>
      </c>
    </row>
    <row r="58" spans="1:9" ht="18">
      <c r="A58" s="19">
        <v>56</v>
      </c>
      <c r="B58" s="350" t="str">
        <f>Summary_Chittagong!B38</f>
        <v>আঞ্চলিক পূর্ত নির্মাণ বিভাগ</v>
      </c>
      <c r="C58" s="94">
        <f>Summary_Chittagong!C38</f>
        <v>5</v>
      </c>
      <c r="D58" s="94">
        <f>Summary_Chittagong!D38</f>
        <v>13</v>
      </c>
      <c r="E58" s="94">
        <f>Summary_Chittagong!E38</f>
        <v>18</v>
      </c>
      <c r="F58" s="94">
        <f>Summary_Chittagong!F38</f>
        <v>3</v>
      </c>
      <c r="G58" s="94">
        <f>Summary_Chittagong!G38</f>
        <v>1</v>
      </c>
      <c r="H58" s="94">
        <f>Summary_Chittagong!H38</f>
        <v>4</v>
      </c>
      <c r="I58" s="94">
        <f>Summary_Chittagong!I38</f>
        <v>5</v>
      </c>
    </row>
    <row r="59" spans="1:9" ht="18">
      <c r="A59" s="19">
        <v>57</v>
      </c>
      <c r="B59" s="350" t="str">
        <f>Summary_Chittagong!B39</f>
        <v>পিসি পোল নির্মাণ প্ল্যান্ট</v>
      </c>
      <c r="C59" s="94">
        <f>Summary_Chittagong!C39</f>
        <v>2</v>
      </c>
      <c r="D59" s="94">
        <f>Summary_Chittagong!D39</f>
        <v>17</v>
      </c>
      <c r="E59" s="94">
        <f>Summary_Chittagong!E39</f>
        <v>19</v>
      </c>
      <c r="F59" s="94">
        <f>Summary_Chittagong!F39</f>
        <v>3</v>
      </c>
      <c r="G59" s="94">
        <f>Summary_Chittagong!G39</f>
        <v>1</v>
      </c>
      <c r="H59" s="94">
        <f>Summary_Chittagong!H39</f>
        <v>5</v>
      </c>
      <c r="I59" s="94">
        <f>Summary_Chittagong!I39</f>
        <v>6</v>
      </c>
    </row>
    <row r="60" spans="1:9" ht="18">
      <c r="A60" s="19">
        <v>58</v>
      </c>
      <c r="B60" s="350" t="str">
        <f>Summary_Chittagong!B40</f>
        <v>প্রকল্প পরিচালক, বিদ্যুৎ বিতরণ ব্যবস্থা উন্নয়ন প্রকল্প, চট্টগ্রাম, জোন।</v>
      </c>
      <c r="C60" s="94">
        <f>Summary_Chittagong!C40</f>
        <v>2</v>
      </c>
      <c r="D60" s="94">
        <f>Summary_Chittagong!D40</f>
        <v>4</v>
      </c>
      <c r="E60" s="94">
        <f>Summary_Chittagong!E40</f>
        <v>6</v>
      </c>
      <c r="F60" s="94">
        <f>Summary_Chittagong!F40</f>
        <v>0</v>
      </c>
      <c r="G60" s="94">
        <f>Summary_Chittagong!G40</f>
        <v>0</v>
      </c>
      <c r="H60" s="94">
        <f>Summary_Chittagong!H40</f>
        <v>0</v>
      </c>
      <c r="I60" s="94">
        <f>Summary_Chittagong!I40</f>
        <v>0</v>
      </c>
    </row>
    <row r="61" spans="1:9" ht="18">
      <c r="A61" s="19">
        <v>59</v>
      </c>
      <c r="B61" s="350" t="str">
        <f>Summary_Chittagong!B41</f>
        <v>প্রকল্প পরিচালক, বিদ্যুৎ বিতরণ ব্যবস্থা উন্নয়ন প্রকল্প (২য় পর্যায়), চট্টগ্রাম, জোন।</v>
      </c>
      <c r="C61" s="94">
        <f>Summary_Chittagong!C41</f>
        <v>0</v>
      </c>
      <c r="D61" s="94">
        <f>Summary_Chittagong!D41</f>
        <v>26</v>
      </c>
      <c r="E61" s="94">
        <f>Summary_Chittagong!E41</f>
        <v>26</v>
      </c>
      <c r="F61" s="94">
        <f>Summary_Chittagong!F41</f>
        <v>7</v>
      </c>
      <c r="G61" s="94">
        <f>Summary_Chittagong!G41</f>
        <v>4</v>
      </c>
      <c r="H61" s="94">
        <f>Summary_Chittagong!H41</f>
        <v>8</v>
      </c>
      <c r="I61" s="94">
        <f>Summary_Chittagong!I41</f>
        <v>12</v>
      </c>
    </row>
    <row r="62" spans="1:9" ht="18">
      <c r="A62" s="19">
        <v>60</v>
      </c>
      <c r="B62" s="350" t="str">
        <f>Summary_Chittagong!B42</f>
        <v>তিন পার্বত্য জেলা বিদ্যুৎ বিতরণ ব্যবস্থা উন্নয়ন প্রকল্প</v>
      </c>
      <c r="C62" s="94">
        <f>Summary_Chittagong!C42</f>
        <v>0</v>
      </c>
      <c r="D62" s="94">
        <f>Summary_Chittagong!D42</f>
        <v>7</v>
      </c>
      <c r="E62" s="94">
        <f>Summary_Chittagong!E42</f>
        <v>7</v>
      </c>
      <c r="F62" s="94">
        <f>Summary_Chittagong!F42</f>
        <v>0</v>
      </c>
      <c r="G62" s="94">
        <f>Summary_Chittagong!G42</f>
        <v>0</v>
      </c>
      <c r="H62" s="94">
        <f>Summary_Chittagong!H42</f>
        <v>0</v>
      </c>
      <c r="I62" s="94">
        <f>Summary_Chittagong!I42</f>
        <v>0</v>
      </c>
    </row>
    <row r="63" spans="1:9" ht="18">
      <c r="A63" s="19">
        <v>61</v>
      </c>
      <c r="B63" s="350" t="str">
        <f>Summary_Chittagong!B43</f>
        <v>চট্টগ্রাম বিদ্যুৎ কেন্দ্র, বিউবো, রাউজান, চট্টগ্রাম।</v>
      </c>
      <c r="C63" s="94">
        <f>Summary_Chittagong!C43</f>
        <v>1</v>
      </c>
      <c r="D63" s="94">
        <f>Summary_Chittagong!D43</f>
        <v>5</v>
      </c>
      <c r="E63" s="94">
        <f>Summary_Chittagong!E43</f>
        <v>6</v>
      </c>
      <c r="F63" s="94">
        <f>Summary_Chittagong!F43</f>
        <v>0</v>
      </c>
      <c r="G63" s="94">
        <f>Summary_Chittagong!G43</f>
        <v>0</v>
      </c>
      <c r="H63" s="94">
        <f>Summary_Chittagong!H43</f>
        <v>0</v>
      </c>
      <c r="I63" s="94">
        <f>Summary_Chittagong!I43</f>
        <v>0</v>
      </c>
    </row>
    <row r="64" spans="1:9" ht="18">
      <c r="A64" s="19">
        <v>62</v>
      </c>
      <c r="B64" s="350" t="str">
        <f>Summary_Chittagong!B44</f>
        <v>কর্ণফুলী পানি বিদ্যুৎ কেন্দ্র, বিউবো, কাপ্তাই, রাঙ্গামাটি।</v>
      </c>
      <c r="C64" s="94">
        <f>Summary_Chittagong!C44</f>
        <v>1</v>
      </c>
      <c r="D64" s="94">
        <f>Summary_Chittagong!D44</f>
        <v>5</v>
      </c>
      <c r="E64" s="94">
        <f>Summary_Chittagong!E44</f>
        <v>6</v>
      </c>
      <c r="F64" s="94">
        <f>Summary_Chittagong!F44</f>
        <v>0</v>
      </c>
      <c r="G64" s="94">
        <f>Summary_Chittagong!G44</f>
        <v>0</v>
      </c>
      <c r="H64" s="94">
        <f>Summary_Chittagong!H44</f>
        <v>0</v>
      </c>
      <c r="I64" s="94">
        <f>Summary_Chittagong!I44</f>
        <v>0</v>
      </c>
    </row>
    <row r="65" spans="1:9" ht="18">
      <c r="A65" s="19">
        <v>63</v>
      </c>
      <c r="B65" s="350" t="str">
        <f>Summary_Chittagong!B45</f>
        <v>শিকলবাহা ৬০ মেঃ ওঃবিদ্যুৎ কেন্দ্র বিউবো, চট্টগ্রাম</v>
      </c>
      <c r="C65" s="94">
        <f>Summary_Chittagong!C45</f>
        <v>0</v>
      </c>
      <c r="D65" s="94">
        <f>Summary_Chittagong!D45</f>
        <v>1</v>
      </c>
      <c r="E65" s="94">
        <f>Summary_Chittagong!E45</f>
        <v>1</v>
      </c>
      <c r="F65" s="94">
        <f>Summary_Chittagong!F45</f>
        <v>0</v>
      </c>
      <c r="G65" s="94">
        <f>Summary_Chittagong!G45</f>
        <v>0</v>
      </c>
      <c r="H65" s="94">
        <f>Summary_Chittagong!H45</f>
        <v>0</v>
      </c>
      <c r="I65" s="94">
        <f>Summary_Chittagong!I45</f>
        <v>0</v>
      </c>
    </row>
    <row r="66" spans="1:9" ht="18">
      <c r="A66" s="19">
        <v>64</v>
      </c>
      <c r="B66" s="350" t="str">
        <f>Summary_Chittagong!B46</f>
        <v>শিকলবাহা ২২৫ মেঃ ওঃবিদ্যুৎ কেন্দ্র বিউবো, চট্টগ্রাম</v>
      </c>
      <c r="C66" s="94">
        <f>Summary_Chittagong!C46</f>
        <v>1</v>
      </c>
      <c r="D66" s="94">
        <f>Summary_Chittagong!D46</f>
        <v>5</v>
      </c>
      <c r="E66" s="94">
        <f>Summary_Chittagong!E46</f>
        <v>6</v>
      </c>
      <c r="F66" s="94">
        <f>Summary_Chittagong!F46</f>
        <v>0</v>
      </c>
      <c r="G66" s="94">
        <f>Summary_Chittagong!G46</f>
        <v>0</v>
      </c>
      <c r="H66" s="94">
        <f>Summary_Chittagong!H46</f>
        <v>6</v>
      </c>
      <c r="I66" s="94">
        <f>Summary_Chittagong!I46</f>
        <v>6</v>
      </c>
    </row>
    <row r="67" spans="1:9" ht="21.75" customHeight="1">
      <c r="A67" s="19">
        <v>65</v>
      </c>
      <c r="B67" s="351" t="str">
        <f>Summary_Comilla!B6</f>
        <v>বিক্রয় ও বিতরন বিভাগ- 1, Kzwgল্লা</v>
      </c>
      <c r="C67" s="352">
        <f>Summary_Comilla!C6</f>
        <v>1</v>
      </c>
      <c r="D67" s="352">
        <f>Summary_Comilla!D6</f>
        <v>17</v>
      </c>
      <c r="E67" s="352">
        <f>Summary_Comilla!E6</f>
        <v>18</v>
      </c>
      <c r="F67" s="352">
        <f>Summary_Comilla!F6</f>
        <v>4</v>
      </c>
      <c r="G67" s="352">
        <f>Summary_Comilla!G6</f>
        <v>3</v>
      </c>
      <c r="H67" s="352">
        <f>Summary_Comilla!H6</f>
        <v>3</v>
      </c>
      <c r="I67" s="352">
        <f>Summary_Comilla!I6</f>
        <v>6</v>
      </c>
    </row>
    <row r="68" spans="1:9" ht="21.75" customHeight="1">
      <c r="A68" s="19">
        <v>66</v>
      </c>
      <c r="B68" s="351" t="str">
        <f>Summary_Comilla!B7</f>
        <v>বিক্রয় ও বিতরন বিভাগ- 2, Kzwgল্লা</v>
      </c>
      <c r="C68" s="352">
        <f>Summary_Comilla!C7</f>
        <v>1</v>
      </c>
      <c r="D68" s="352">
        <f>Summary_Comilla!D7</f>
        <v>24</v>
      </c>
      <c r="E68" s="352">
        <f>Summary_Comilla!E7</f>
        <v>25</v>
      </c>
      <c r="F68" s="352">
        <f>Summary_Comilla!F7</f>
        <v>0</v>
      </c>
      <c r="G68" s="352">
        <f>Summary_Comilla!G7</f>
        <v>0</v>
      </c>
      <c r="H68" s="352">
        <f>Summary_Comilla!H7</f>
        <v>3</v>
      </c>
      <c r="I68" s="352">
        <f>Summary_Comilla!I7</f>
        <v>3</v>
      </c>
    </row>
    <row r="69" spans="1:9" ht="21.75" customHeight="1">
      <c r="A69" s="19">
        <v>67</v>
      </c>
      <c r="B69" s="351" t="str">
        <f>Summary_Comilla!B8</f>
        <v>বিক্রয় ও বিতরন বিভাগ- 3, Kzwgল্লা</v>
      </c>
      <c r="C69" s="352">
        <f>Summary_Comilla!C8</f>
        <v>0</v>
      </c>
      <c r="D69" s="352">
        <f>Summary_Comilla!D8</f>
        <v>12</v>
      </c>
      <c r="E69" s="352">
        <f>Summary_Comilla!E8</f>
        <v>12</v>
      </c>
      <c r="F69" s="352">
        <f>Summary_Comilla!F8</f>
        <v>0</v>
      </c>
      <c r="G69" s="352">
        <f>Summary_Comilla!G8</f>
        <v>0</v>
      </c>
      <c r="H69" s="352">
        <f>Summary_Comilla!H8</f>
        <v>2</v>
      </c>
      <c r="I69" s="352">
        <f>Summary_Comilla!I8</f>
        <v>2</v>
      </c>
    </row>
    <row r="70" spans="1:9" ht="21.75" customHeight="1">
      <c r="A70" s="19">
        <v>68</v>
      </c>
      <c r="B70" s="351" t="str">
        <f>Summary_Comilla!B9</f>
        <v>চৌদ্দগ্রাম বিদ্যুৎ সরবরাহ</v>
      </c>
      <c r="C70" s="352">
        <f>Summary_Comilla!C9</f>
        <v>0</v>
      </c>
      <c r="D70" s="352">
        <f>Summary_Comilla!D9</f>
        <v>1</v>
      </c>
      <c r="E70" s="352">
        <f>Summary_Comilla!E9</f>
        <v>1</v>
      </c>
      <c r="F70" s="352">
        <f>Summary_Comilla!F9</f>
        <v>0</v>
      </c>
      <c r="G70" s="352">
        <f>Summary_Comilla!G9</f>
        <v>0</v>
      </c>
      <c r="H70" s="352">
        <f>Summary_Comilla!H9</f>
        <v>0</v>
      </c>
      <c r="I70" s="352">
        <f>Summary_Comilla!I9</f>
        <v>0</v>
      </c>
    </row>
    <row r="71" spans="1:9" ht="21.75" customHeight="1">
      <c r="A71" s="19">
        <v>69</v>
      </c>
      <c r="B71" s="351" t="str">
        <f>Summary_Comilla!B10</f>
        <v>Pvu`cyi 150 †gtIt we`y¨r †K›`ª</v>
      </c>
      <c r="C71" s="352">
        <f>Summary_Comilla!C10</f>
        <v>0</v>
      </c>
      <c r="D71" s="352">
        <f>Summary_Comilla!D10</f>
        <v>2</v>
      </c>
      <c r="E71" s="352">
        <f>Summary_Comilla!E10</f>
        <v>2</v>
      </c>
      <c r="F71" s="352">
        <f>Summary_Comilla!F10</f>
        <v>0</v>
      </c>
      <c r="G71" s="352">
        <f>Summary_Comilla!G10</f>
        <v>0</v>
      </c>
      <c r="H71" s="352">
        <f>Summary_Comilla!H10</f>
        <v>0</v>
      </c>
      <c r="I71" s="352">
        <f>Summary_Comilla!I10</f>
        <v>0</v>
      </c>
    </row>
    <row r="72" spans="1:9" ht="21.75" customHeight="1">
      <c r="A72" s="19">
        <v>70</v>
      </c>
      <c r="B72" s="351" t="str">
        <f>Summary_Comilla!B11</f>
        <v>বিক্রয় ও বিতরন বিভাগ- চাঁদপুর</v>
      </c>
      <c r="C72" s="352">
        <f>Summary_Comilla!C11</f>
        <v>1</v>
      </c>
      <c r="D72" s="352">
        <f>Summary_Comilla!D11</f>
        <v>14</v>
      </c>
      <c r="E72" s="352">
        <f>Summary_Comilla!E11</f>
        <v>15</v>
      </c>
      <c r="F72" s="352">
        <f>Summary_Comilla!F11</f>
        <v>3</v>
      </c>
      <c r="G72" s="352">
        <f>Summary_Comilla!G11</f>
        <v>1</v>
      </c>
      <c r="H72" s="352">
        <f>Summary_Comilla!H11</f>
        <v>0</v>
      </c>
      <c r="I72" s="352">
        <f>Summary_Comilla!I11</f>
        <v>1</v>
      </c>
    </row>
    <row r="73" spans="1:9" ht="21.75" customHeight="1">
      <c r="A73" s="19">
        <v>71</v>
      </c>
      <c r="B73" s="351" t="str">
        <f>Summary_Comilla!B12</f>
        <v>বিক্রয় ও বিতরন বিভাগ- নোয়াখালী</v>
      </c>
      <c r="C73" s="352">
        <f>Summary_Comilla!C12</f>
        <v>2</v>
      </c>
      <c r="D73" s="352">
        <f>Summary_Comilla!D12</f>
        <v>16</v>
      </c>
      <c r="E73" s="352">
        <f>Summary_Comilla!E12</f>
        <v>18</v>
      </c>
      <c r="F73" s="352">
        <f>Summary_Comilla!F12</f>
        <v>0</v>
      </c>
      <c r="G73" s="352">
        <f>Summary_Comilla!G12</f>
        <v>0</v>
      </c>
      <c r="H73" s="352">
        <f>Summary_Comilla!H12</f>
        <v>0</v>
      </c>
      <c r="I73" s="352">
        <f>Summary_Comilla!I12</f>
        <v>0</v>
      </c>
    </row>
    <row r="74" spans="1:9" ht="21.75" customHeight="1">
      <c r="A74" s="19">
        <v>72</v>
      </c>
      <c r="B74" s="351" t="str">
        <f>Summary_Comilla!B13</f>
        <v>jÿxcyi we`y¨r mieivn</v>
      </c>
      <c r="C74" s="352">
        <f>Summary_Comilla!C13</f>
        <v>2</v>
      </c>
      <c r="D74" s="352">
        <f>Summary_Comilla!D13</f>
        <v>8</v>
      </c>
      <c r="E74" s="352">
        <f>Summary_Comilla!E13</f>
        <v>10</v>
      </c>
      <c r="F74" s="352">
        <f>Summary_Comilla!F13</f>
        <v>0</v>
      </c>
      <c r="G74" s="352">
        <f>Summary_Comilla!G13</f>
        <v>0</v>
      </c>
      <c r="H74" s="352">
        <f>Summary_Comilla!H13</f>
        <v>0</v>
      </c>
      <c r="I74" s="352">
        <f>Summary_Comilla!I13</f>
        <v>0</v>
      </c>
    </row>
    <row r="75" spans="1:9" ht="21.75" customHeight="1">
      <c r="A75" s="19">
        <v>73</v>
      </c>
      <c r="B75" s="351" t="str">
        <f>Summary_Comilla!B14</f>
        <v xml:space="preserve"> †PŠgynbx we`y¨r mieivn</v>
      </c>
      <c r="C75" s="352">
        <f>Summary_Comilla!C14</f>
        <v>0</v>
      </c>
      <c r="D75" s="352">
        <f>Summary_Comilla!D14</f>
        <v>7</v>
      </c>
      <c r="E75" s="352">
        <f>Summary_Comilla!E14</f>
        <v>7</v>
      </c>
      <c r="F75" s="352">
        <f>Summary_Comilla!F14</f>
        <v>0</v>
      </c>
      <c r="G75" s="352">
        <f>Summary_Comilla!G14</f>
        <v>0</v>
      </c>
      <c r="H75" s="352">
        <f>Summary_Comilla!H14</f>
        <v>0</v>
      </c>
      <c r="I75" s="352">
        <f>Summary_Comilla!I14</f>
        <v>0</v>
      </c>
    </row>
    <row r="76" spans="1:9" ht="21.75" customHeight="1">
      <c r="A76" s="19">
        <v>74</v>
      </c>
      <c r="B76" s="351" t="str">
        <f>Summary_Comilla!B15</f>
        <v>বিক্রয় ও বিতরন বিভাগ- ফেনী</v>
      </c>
      <c r="C76" s="352">
        <f>Summary_Comilla!C15</f>
        <v>2</v>
      </c>
      <c r="D76" s="352">
        <f>Summary_Comilla!D15</f>
        <v>24</v>
      </c>
      <c r="E76" s="352">
        <f>Summary_Comilla!E15</f>
        <v>26</v>
      </c>
      <c r="F76" s="352">
        <f>Summary_Comilla!F15</f>
        <v>3</v>
      </c>
      <c r="G76" s="352">
        <f>Summary_Comilla!G15</f>
        <v>1</v>
      </c>
      <c r="H76" s="352">
        <f>Summary_Comilla!H15</f>
        <v>3</v>
      </c>
      <c r="I76" s="352">
        <f>Summary_Comilla!I15</f>
        <v>4</v>
      </c>
    </row>
    <row r="77" spans="1:9" ht="21.75" customHeight="1">
      <c r="A77" s="19">
        <v>75</v>
      </c>
      <c r="B77" s="351" t="str">
        <f>Summary_Comilla!B16</f>
        <v>বিক্রয় ও বিতরন বিভাগ- 1, বি,বাড়িয়া</v>
      </c>
      <c r="C77" s="352">
        <f>Summary_Comilla!C16</f>
        <v>3</v>
      </c>
      <c r="D77" s="352">
        <f>Summary_Comilla!D16</f>
        <v>11</v>
      </c>
      <c r="E77" s="352">
        <f>Summary_Comilla!E16</f>
        <v>14</v>
      </c>
      <c r="F77" s="352">
        <f>Summary_Comilla!F16</f>
        <v>0</v>
      </c>
      <c r="G77" s="352">
        <f>Summary_Comilla!G16</f>
        <v>0</v>
      </c>
      <c r="H77" s="352">
        <f>Summary_Comilla!H16</f>
        <v>0</v>
      </c>
      <c r="I77" s="352">
        <f>Summary_Comilla!I16</f>
        <v>0</v>
      </c>
    </row>
    <row r="78" spans="1:9" ht="21.75" customHeight="1">
      <c r="A78" s="19">
        <v>76</v>
      </c>
      <c r="B78" s="351" t="str">
        <f>Summary_Comilla!B17</f>
        <v>বিক্রয় ও বিতরন বিভাগ- 2, বি,বাড়িয়া</v>
      </c>
      <c r="C78" s="352">
        <f>Summary_Comilla!C17</f>
        <v>0</v>
      </c>
      <c r="D78" s="352">
        <f>Summary_Comilla!D17</f>
        <v>3</v>
      </c>
      <c r="E78" s="352">
        <f>Summary_Comilla!E17</f>
        <v>3</v>
      </c>
      <c r="F78" s="352">
        <f>Summary_Comilla!F17</f>
        <v>2</v>
      </c>
      <c r="G78" s="352">
        <f>Summary_Comilla!G17</f>
        <v>2</v>
      </c>
      <c r="H78" s="352">
        <f>Summary_Comilla!H17</f>
        <v>0</v>
      </c>
      <c r="I78" s="352">
        <f>Summary_Comilla!I17</f>
        <v>2</v>
      </c>
    </row>
    <row r="79" spans="1:9" ht="21.75" customHeight="1">
      <c r="A79" s="19">
        <v>77</v>
      </c>
      <c r="B79" s="351" t="str">
        <f>Summary_Comilla!B18</f>
        <v>বিতরণ ব্যবস্থা উন্নয়ন প্রকল্প, কুমিল্লা জোন</v>
      </c>
      <c r="C79" s="352">
        <f>Summary_Comilla!C18</f>
        <v>0</v>
      </c>
      <c r="D79" s="352">
        <f>Summary_Comilla!D18</f>
        <v>18</v>
      </c>
      <c r="E79" s="352">
        <f>Summary_Comilla!E18</f>
        <v>18</v>
      </c>
      <c r="F79" s="352">
        <f>Summary_Comilla!F18</f>
        <v>8</v>
      </c>
      <c r="G79" s="352">
        <f>Summary_Comilla!G18</f>
        <v>4</v>
      </c>
      <c r="H79" s="352">
        <f>Summary_Comilla!H18</f>
        <v>4</v>
      </c>
      <c r="I79" s="352">
        <f>Summary_Comilla!I18</f>
        <v>8</v>
      </c>
    </row>
    <row r="80" spans="1:9" ht="21.75" customHeight="1">
      <c r="A80" s="19">
        <v>78</v>
      </c>
      <c r="B80" s="351" t="str">
        <f>Summary_Comilla!B19</f>
        <v>হাতিয়া নিঝুমদ্বীপ শতভvগ বিদ্যূতায়ন প্রকল্প</v>
      </c>
      <c r="C80" s="352">
        <f>Summary_Comilla!C19</f>
        <v>3</v>
      </c>
      <c r="D80" s="352">
        <f>Summary_Comilla!D19</f>
        <v>16</v>
      </c>
      <c r="E80" s="352">
        <f>Summary_Comilla!E19</f>
        <v>19</v>
      </c>
      <c r="F80" s="352">
        <f>Summary_Comilla!F19</f>
        <v>0</v>
      </c>
      <c r="G80" s="352">
        <f>Summary_Comilla!G19</f>
        <v>0</v>
      </c>
      <c r="H80" s="352">
        <f>Summary_Comilla!H19</f>
        <v>8</v>
      </c>
      <c r="I80" s="352">
        <f>Summary_Comilla!I19</f>
        <v>8</v>
      </c>
    </row>
    <row r="81" spans="1:9" ht="16.5">
      <c r="A81" s="19">
        <v>79</v>
      </c>
      <c r="B81" s="6" t="str">
        <f>Summary_Sylhet!B5</f>
        <v>নির্বাহী প্রকৌশলী, বিক্রয় ও বিতরণ বিভাগ-১, বিউবো, সিলেট</v>
      </c>
      <c r="C81" s="353">
        <f>Summary_Sylhet!C5</f>
        <v>7</v>
      </c>
      <c r="D81" s="353">
        <f>Summary_Sylhet!D5</f>
        <v>11</v>
      </c>
      <c r="E81" s="353">
        <f>Summary_Sylhet!E5</f>
        <v>18</v>
      </c>
      <c r="F81" s="353">
        <f>Summary_Sylhet!F5</f>
        <v>4</v>
      </c>
      <c r="G81" s="353">
        <f>Summary_Sylhet!G5</f>
        <v>2</v>
      </c>
      <c r="H81" s="353">
        <f>Summary_Sylhet!H5</f>
        <v>5</v>
      </c>
      <c r="I81" s="353">
        <f>Summary_Sylhet!I5</f>
        <v>7</v>
      </c>
    </row>
    <row r="82" spans="1:9" ht="16.5">
      <c r="A82" s="19">
        <v>80</v>
      </c>
      <c r="B82" s="6" t="str">
        <f>Summary_Sylhet!B6</f>
        <v>নির্বাহী প্রকৌশলী, বিক্রয় ও বিতরণ বিভাগ-২, বিউবো, সিলেট</v>
      </c>
      <c r="C82" s="353">
        <f>Summary_Sylhet!C6</f>
        <v>3</v>
      </c>
      <c r="D82" s="353">
        <f>Summary_Sylhet!D6</f>
        <v>7</v>
      </c>
      <c r="E82" s="353">
        <f>Summary_Sylhet!E6</f>
        <v>10</v>
      </c>
      <c r="F82" s="353">
        <f>Summary_Sylhet!F6</f>
        <v>2</v>
      </c>
      <c r="G82" s="353">
        <f>Summary_Sylhet!G6</f>
        <v>1</v>
      </c>
      <c r="H82" s="353">
        <f>Summary_Sylhet!H6</f>
        <v>0</v>
      </c>
      <c r="I82" s="353">
        <f>Summary_Sylhet!I6</f>
        <v>1</v>
      </c>
    </row>
    <row r="83" spans="1:9" ht="16.5">
      <c r="A83" s="19">
        <v>81</v>
      </c>
      <c r="B83" s="6" t="str">
        <f>Summary_Sylhet!B7</f>
        <v>নির্বাহী প্রকৌশলী, বিক্রয় ও বিতরণ বিভাগ-৩, বিউবো, সিলেট</v>
      </c>
      <c r="C83" s="353">
        <f>Summary_Sylhet!C7</f>
        <v>4</v>
      </c>
      <c r="D83" s="353">
        <f>Summary_Sylhet!D7</f>
        <v>8</v>
      </c>
      <c r="E83" s="353">
        <f>Summary_Sylhet!E7</f>
        <v>12</v>
      </c>
      <c r="F83" s="353">
        <f>Summary_Sylhet!F7</f>
        <v>0</v>
      </c>
      <c r="G83" s="353">
        <f>Summary_Sylhet!G7</f>
        <v>0</v>
      </c>
      <c r="H83" s="353">
        <f>Summary_Sylhet!H7</f>
        <v>5</v>
      </c>
      <c r="I83" s="353">
        <f>Summary_Sylhet!I7</f>
        <v>5</v>
      </c>
    </row>
    <row r="84" spans="1:9" ht="16.5">
      <c r="A84" s="19">
        <v>82</v>
      </c>
      <c r="B84" s="6" t="str">
        <f>Summary_Sylhet!B8</f>
        <v>নির্বাহী প্রকৌশলী, বিক্রয় ও বিতরণ বিভাগ-৪, বিউবো, সিলেট</v>
      </c>
      <c r="C84" s="353">
        <f>Summary_Sylhet!C8</f>
        <v>2</v>
      </c>
      <c r="D84" s="353">
        <f>Summary_Sylhet!D8</f>
        <v>3</v>
      </c>
      <c r="E84" s="353">
        <f>Summary_Sylhet!E8</f>
        <v>5</v>
      </c>
      <c r="F84" s="353">
        <f>Summary_Sylhet!F8</f>
        <v>3</v>
      </c>
      <c r="G84" s="353">
        <f>Summary_Sylhet!G8</f>
        <v>1</v>
      </c>
      <c r="H84" s="353">
        <f>Summary_Sylhet!H8</f>
        <v>0</v>
      </c>
      <c r="I84" s="353">
        <f>Summary_Sylhet!I8</f>
        <v>1</v>
      </c>
    </row>
    <row r="85" spans="1:9" ht="16.5">
      <c r="A85" s="19">
        <v>83</v>
      </c>
      <c r="B85" s="6" t="str">
        <f>Summary_Sylhet!B9</f>
        <v>নির্বাহী প্রকৌশলী, বিক্রয় ও বিতরণ বিভাগ-৫, বিউবো, সিলেট</v>
      </c>
      <c r="C85" s="353">
        <f>Summary_Sylhet!C9</f>
        <v>5</v>
      </c>
      <c r="D85" s="353">
        <f>Summary_Sylhet!D9</f>
        <v>9</v>
      </c>
      <c r="E85" s="353">
        <f>Summary_Sylhet!E9</f>
        <v>14</v>
      </c>
      <c r="F85" s="353">
        <f>Summary_Sylhet!F9</f>
        <v>2</v>
      </c>
      <c r="G85" s="353">
        <f>Summary_Sylhet!G9</f>
        <v>0</v>
      </c>
      <c r="H85" s="353">
        <f>Summary_Sylhet!H9</f>
        <v>4</v>
      </c>
      <c r="I85" s="353">
        <f>Summary_Sylhet!I9</f>
        <v>4</v>
      </c>
    </row>
    <row r="86" spans="1:9" ht="16.5">
      <c r="A86" s="19">
        <v>84</v>
      </c>
      <c r="B86" s="6" t="str">
        <f>Summary_Sylhet!B10</f>
        <v>নির্বাহী প্রকৌশলী, বিক্রয় ও বিতরণ বিভাগ, বিউবো, সুনামগঞ্জ</v>
      </c>
      <c r="C86" s="353">
        <f>Summary_Sylhet!C10</f>
        <v>4</v>
      </c>
      <c r="D86" s="353">
        <f>Summary_Sylhet!D10</f>
        <v>5</v>
      </c>
      <c r="E86" s="353">
        <f>Summary_Sylhet!E10</f>
        <v>9</v>
      </c>
      <c r="F86" s="353">
        <f>Summary_Sylhet!F10</f>
        <v>5</v>
      </c>
      <c r="G86" s="353">
        <f>Summary_Sylhet!G10</f>
        <v>0</v>
      </c>
      <c r="H86" s="353">
        <f>Summary_Sylhet!H10</f>
        <v>0</v>
      </c>
      <c r="I86" s="353">
        <f>Summary_Sylhet!I10</f>
        <v>0</v>
      </c>
    </row>
    <row r="87" spans="1:9" ht="16.5">
      <c r="A87" s="19">
        <v>85</v>
      </c>
      <c r="B87" s="6" t="str">
        <f>Summary_Sylhet!B11</f>
        <v>নির্বাহী প্রকৌশলী, বিক্রয় ও বিতরণ বিভাগ, ছাতক, সুনামগঞ্জ।</v>
      </c>
      <c r="C87" s="353">
        <f>Summary_Sylhet!C11</f>
        <v>2</v>
      </c>
      <c r="D87" s="353">
        <f>Summary_Sylhet!D11</f>
        <v>6</v>
      </c>
      <c r="E87" s="353">
        <f>Summary_Sylhet!E11</f>
        <v>8</v>
      </c>
      <c r="F87" s="353">
        <f>Summary_Sylhet!F11</f>
        <v>6</v>
      </c>
      <c r="G87" s="353">
        <f>Summary_Sylhet!G11</f>
        <v>2</v>
      </c>
      <c r="H87" s="353">
        <f>Summary_Sylhet!H11</f>
        <v>0</v>
      </c>
      <c r="I87" s="353">
        <f>Summary_Sylhet!I11</f>
        <v>2</v>
      </c>
    </row>
    <row r="88" spans="1:9" ht="16.5">
      <c r="A88" s="19">
        <v>86</v>
      </c>
      <c r="B88" s="6" t="str">
        <f>Summary_Sylhet!B12</f>
        <v>নির্বাহী প্রকৌশলী, বিতরণ বিভাগ, বিউবো, মৌলভীবাজার</v>
      </c>
      <c r="C88" s="353">
        <f>Summary_Sylhet!C12</f>
        <v>4</v>
      </c>
      <c r="D88" s="353">
        <f>Summary_Sylhet!D12</f>
        <v>15</v>
      </c>
      <c r="E88" s="353">
        <f>Summary_Sylhet!E12</f>
        <v>19</v>
      </c>
      <c r="F88" s="353">
        <f>Summary_Sylhet!F12</f>
        <v>3</v>
      </c>
      <c r="G88" s="353">
        <f>Summary_Sylhet!G12</f>
        <v>2</v>
      </c>
      <c r="H88" s="353">
        <f>Summary_Sylhet!H12</f>
        <v>3</v>
      </c>
      <c r="I88" s="353">
        <f>Summary_Sylhet!I12</f>
        <v>5</v>
      </c>
    </row>
    <row r="89" spans="1:9" ht="31.5">
      <c r="A89" s="19">
        <v>87</v>
      </c>
      <c r="B89" s="6" t="str">
        <f>Summary_Sylhet!B13</f>
        <v>নির্বাহী প্রকৌশলী, বিক্রয় ও বিতরণ বিভাগ, কুলাউড়া, বিউবো, মৌলভীবাজার</v>
      </c>
      <c r="C89" s="353">
        <f>Summary_Sylhet!C13</f>
        <v>4</v>
      </c>
      <c r="D89" s="353">
        <f>Summary_Sylhet!D13</f>
        <v>3</v>
      </c>
      <c r="E89" s="353">
        <f>Summary_Sylhet!E13</f>
        <v>7</v>
      </c>
      <c r="F89" s="353">
        <f>Summary_Sylhet!F13</f>
        <v>2</v>
      </c>
      <c r="G89" s="353">
        <f>Summary_Sylhet!G13</f>
        <v>0</v>
      </c>
      <c r="H89" s="353">
        <f>Summary_Sylhet!H13</f>
        <v>0</v>
      </c>
      <c r="I89" s="353">
        <f>Summary_Sylhet!I13</f>
        <v>0</v>
      </c>
    </row>
    <row r="90" spans="1:9" ht="16.5">
      <c r="A90" s="19">
        <v>88</v>
      </c>
      <c r="B90" s="6" t="str">
        <f>Summary_Sylhet!B14</f>
        <v>নির্বাহী প্রকৌশলী, বিক্রয় ও বিতরণ বিভাগ, বিউবো, হবিগঞ্জ</v>
      </c>
      <c r="C90" s="353">
        <f>Summary_Sylhet!C14</f>
        <v>4</v>
      </c>
      <c r="D90" s="353">
        <f>Summary_Sylhet!D14</f>
        <v>6</v>
      </c>
      <c r="E90" s="353">
        <f>Summary_Sylhet!E14</f>
        <v>10</v>
      </c>
      <c r="F90" s="353">
        <f>Summary_Sylhet!F14</f>
        <v>6</v>
      </c>
      <c r="G90" s="353">
        <f>Summary_Sylhet!G14</f>
        <v>1</v>
      </c>
      <c r="H90" s="353">
        <f>Summary_Sylhet!H14</f>
        <v>0</v>
      </c>
      <c r="I90" s="353">
        <f>Summary_Sylhet!I14</f>
        <v>1</v>
      </c>
    </row>
    <row r="91" spans="1:9" ht="31.5">
      <c r="A91" s="19">
        <v>89</v>
      </c>
      <c r="B91" s="6" t="str">
        <f>Summary_Sylhet!B15</f>
        <v>ব্যবস্থাপক, ফেঞ্চুগঞ্জ ৯০ মেঃ ওঃ কম্বাইন্ড সাইকেল বিদ্যুৎ কেন্দ্র, বিউবো, ফেঞ্চুগঞ্জ, সিলেট</v>
      </c>
      <c r="C91" s="353">
        <f>Summary_Sylhet!C15</f>
        <v>0</v>
      </c>
      <c r="D91" s="353">
        <f>Summary_Sylhet!D15</f>
        <v>1</v>
      </c>
      <c r="E91" s="353">
        <f>Summary_Sylhet!E15</f>
        <v>1</v>
      </c>
      <c r="F91" s="353">
        <f>Summary_Sylhet!F15</f>
        <v>0</v>
      </c>
      <c r="G91" s="353">
        <f>Summary_Sylhet!G15</f>
        <v>0</v>
      </c>
      <c r="H91" s="353">
        <f>Summary_Sylhet!H15</f>
        <v>0</v>
      </c>
      <c r="I91" s="353">
        <f>Summary_Sylhet!I15</f>
        <v>0</v>
      </c>
    </row>
    <row r="92" spans="1:9" ht="16.5">
      <c r="A92" s="19">
        <v>90</v>
      </c>
      <c r="B92" s="6" t="str">
        <f>Summary_Sylhet!B16</f>
        <v>ব্যবস্থাপক, শাহ্‌জীবাজার বিদ্যুৎ কেন্দ্র, বিউবো, হবিগঞ্জ</v>
      </c>
      <c r="C92" s="353">
        <f>Summary_Sylhet!C16</f>
        <v>0</v>
      </c>
      <c r="D92" s="353">
        <f>Summary_Sylhet!D16</f>
        <v>1</v>
      </c>
      <c r="E92" s="353">
        <f>Summary_Sylhet!E16</f>
        <v>1</v>
      </c>
      <c r="F92" s="353">
        <f>Summary_Sylhet!F16</f>
        <v>0</v>
      </c>
      <c r="G92" s="353">
        <f>Summary_Sylhet!G16</f>
        <v>0</v>
      </c>
      <c r="H92" s="353">
        <f>Summary_Sylhet!H16</f>
        <v>0</v>
      </c>
      <c r="I92" s="353">
        <f>Summary_Sylhet!I16</f>
        <v>0</v>
      </c>
    </row>
    <row r="93" spans="1:9" ht="31.5">
      <c r="A93" s="19">
        <v>91</v>
      </c>
      <c r="B93" s="6" t="str">
        <f>Summary_Sylhet!B17</f>
        <v>প্রকল্প পরিচালক, ১৫০ মেঃ ওঃ কম্বাইন্ড সাইকেল প্রকল্প, বিউবো, সিলেট।</v>
      </c>
      <c r="C93" s="353">
        <f>Summary_Sylhet!C17</f>
        <v>0</v>
      </c>
      <c r="D93" s="353">
        <f>Summary_Sylhet!D17</f>
        <v>5</v>
      </c>
      <c r="E93" s="353">
        <f>Summary_Sylhet!E17</f>
        <v>5</v>
      </c>
      <c r="F93" s="353">
        <f>Summary_Sylhet!F17</f>
        <v>5</v>
      </c>
      <c r="G93" s="353">
        <f>Summary_Sylhet!G17</f>
        <v>1</v>
      </c>
      <c r="H93" s="353">
        <f>Summary_Sylhet!H17</f>
        <v>0</v>
      </c>
      <c r="I93" s="353">
        <f>Summary_Sylhet!I17</f>
        <v>1</v>
      </c>
    </row>
    <row r="94" spans="1:9" ht="31.5">
      <c r="A94" s="19">
        <v>92</v>
      </c>
      <c r="B94" s="6" t="str">
        <f>Summary_Sylhet!B18</f>
        <v>প্রকল্প পরিচালক, বিদ্যুৎ বিতরণ ব্যবস্থা উন্নয়ন প্রকল্প, সিলেট জোন, বিউবো, ঢাকা।</v>
      </c>
      <c r="C94" s="353">
        <f>Summary_Sylhet!C18</f>
        <v>4</v>
      </c>
      <c r="D94" s="353">
        <f>Summary_Sylhet!D18</f>
        <v>15</v>
      </c>
      <c r="E94" s="353">
        <f>Summary_Sylhet!E18</f>
        <v>19</v>
      </c>
      <c r="F94" s="353">
        <f>Summary_Sylhet!F18</f>
        <v>0</v>
      </c>
      <c r="G94" s="353">
        <f>Summary_Sylhet!G18</f>
        <v>0</v>
      </c>
      <c r="H94" s="353">
        <f>Summary_Sylhet!H18</f>
        <v>7</v>
      </c>
      <c r="I94" s="353">
        <f>Summary_Sylhet!I18</f>
        <v>7</v>
      </c>
    </row>
    <row r="95" spans="1:9" ht="31.5">
      <c r="A95" s="19">
        <v>93</v>
      </c>
      <c r="B95" s="6" t="str">
        <f>Summary_Sylhet!B19</f>
        <v>ব্যবস্থাপক, বিবিয়ানা-সাউথ ৪০০ মে. ও. কম্বাইন্ড সাইকেল বিদ্যুৎ কেন্দ্র, নবীগঞ্জ, হবিগঞ্জ</v>
      </c>
      <c r="C95" s="353">
        <f>Summary_Sylhet!C19</f>
        <v>3</v>
      </c>
      <c r="D95" s="353">
        <f>Summary_Sylhet!D19</f>
        <v>8</v>
      </c>
      <c r="E95" s="353">
        <f>Summary_Sylhet!E19</f>
        <v>11</v>
      </c>
      <c r="F95" s="353">
        <f>Summary_Sylhet!F19</f>
        <v>0</v>
      </c>
      <c r="G95" s="353">
        <f>Summary_Sylhet!G19</f>
        <v>0</v>
      </c>
      <c r="H95" s="353">
        <f>Summary_Sylhet!H19</f>
        <v>7</v>
      </c>
      <c r="I95" s="353">
        <f>Summary_Sylhet!I19</f>
        <v>7</v>
      </c>
    </row>
    <row r="96" spans="1:9" ht="31.5">
      <c r="A96" s="19">
        <v>94</v>
      </c>
      <c r="B96" s="6" t="str">
        <f>Summary_Sylhet!B20</f>
        <v>ব্যবস্থাপক, বিবিয়ানা-৩  ৪০০ মে. ও. কম্বাইন্ড সাইকেল বিদ্যুৎ কেন্দ্র, নবীগঞ্জ, হবিগঞ্জ</v>
      </c>
      <c r="C96" s="353">
        <f>Summary_Sylhet!C20</f>
        <v>3</v>
      </c>
      <c r="D96" s="353">
        <f>Summary_Sylhet!D20</f>
        <v>8</v>
      </c>
      <c r="E96" s="353">
        <f>Summary_Sylhet!E20</f>
        <v>11</v>
      </c>
      <c r="F96" s="353">
        <f>Summary_Sylhet!F20</f>
        <v>0</v>
      </c>
      <c r="G96" s="353">
        <f>Summary_Sylhet!G20</f>
        <v>0</v>
      </c>
      <c r="H96" s="353">
        <f>Summary_Sylhet!H20</f>
        <v>7</v>
      </c>
      <c r="I96" s="353">
        <f>Summary_Sylhet!I20</f>
        <v>7</v>
      </c>
    </row>
    <row r="97" spans="1:9" ht="31.5">
      <c r="A97" s="19">
        <v>95</v>
      </c>
      <c r="B97" s="6" t="str">
        <f>Summary_Sylhet!B21</f>
        <v xml:space="preserve">প্রধান প্রকৌশলী, সিলেট ২২৫ মেঃ ওঃ কম্বাইণ্ড সাইকেল পাওয়ার প্ল্যান্ট, বিউবো, কুমারগাও, সিলেট।  </v>
      </c>
      <c r="C97" s="353">
        <f>Summary_Sylhet!C21</f>
        <v>0</v>
      </c>
      <c r="D97" s="353">
        <f>Summary_Sylhet!D21</f>
        <v>7</v>
      </c>
      <c r="E97" s="353">
        <f>Summary_Sylhet!E21</f>
        <v>7</v>
      </c>
      <c r="F97" s="353">
        <f>Summary_Sylhet!F21</f>
        <v>0</v>
      </c>
      <c r="G97" s="353">
        <f>Summary_Sylhet!G21</f>
        <v>0</v>
      </c>
      <c r="H97" s="353">
        <f>Summary_Sylhet!H21</f>
        <v>7</v>
      </c>
      <c r="I97" s="353">
        <f>Summary_Sylhet!I21</f>
        <v>7</v>
      </c>
    </row>
    <row r="98" spans="1:9" ht="21.75" customHeight="1">
      <c r="A98" s="19">
        <v>96</v>
      </c>
      <c r="B98" s="4" t="str">
        <f>Summary_FAPAD!B6</f>
        <v>১৬ শহর বিদ্যুৎ বিতরণ প্রকল্প</v>
      </c>
      <c r="C98" s="19">
        <f>Summary_FAPAD!C6</f>
        <v>0</v>
      </c>
      <c r="D98" s="19">
        <f>Summary_FAPAD!D6</f>
        <v>4</v>
      </c>
      <c r="E98" s="19">
        <f>Summary_FAPAD!E6</f>
        <v>4</v>
      </c>
      <c r="F98" s="19">
        <f>Summary_FAPAD!F6</f>
        <v>0</v>
      </c>
      <c r="G98" s="19">
        <f>Summary_FAPAD!G6</f>
        <v>0</v>
      </c>
      <c r="H98" s="19">
        <f>Summary_FAPAD!H6</f>
        <v>0</v>
      </c>
      <c r="I98" s="19">
        <f>Summary_FAPAD!I6</f>
        <v>0</v>
      </c>
    </row>
    <row r="99" spans="1:9" ht="21.75" customHeight="1">
      <c r="A99" s="19">
        <v>97</v>
      </c>
      <c r="B99" s="4" t="str">
        <f>Summary_FAPAD!B7</f>
        <v>ইলেক্ট্রিফিকেশন এট ভাসানচর অফ নোয়াখালী ডিস্ট্রিক্ট প্রজেক্ট</v>
      </c>
      <c r="C99" s="19">
        <f>Summary_FAPAD!C7</f>
        <v>4</v>
      </c>
      <c r="D99" s="19">
        <f>Summary_FAPAD!D7</f>
        <v>0</v>
      </c>
      <c r="E99" s="19">
        <f>Summary_FAPAD!E7</f>
        <v>4</v>
      </c>
      <c r="F99" s="19">
        <f>Summary_FAPAD!F7</f>
        <v>0</v>
      </c>
      <c r="G99" s="19">
        <f>Summary_FAPAD!G7</f>
        <v>0</v>
      </c>
      <c r="H99" s="19">
        <f>Summary_FAPAD!H7</f>
        <v>4</v>
      </c>
      <c r="I99" s="19">
        <f>Summary_FAPAD!I7</f>
        <v>0</v>
      </c>
    </row>
    <row r="100" spans="1:9" ht="21.75" customHeight="1">
      <c r="A100" s="19">
        <v>98</v>
      </c>
      <c r="B100" s="4" t="str">
        <f>Summary_FAPAD!B8</f>
        <v>২১০  মেঃওঃ সিদ্দিরগঞ্জ থারমাল পাওয়ার ষ্টেশন প্রকল্প</v>
      </c>
      <c r="C100" s="19">
        <f>Summary_FAPAD!C8</f>
        <v>0</v>
      </c>
      <c r="D100" s="19">
        <f>Summary_FAPAD!D8</f>
        <v>2</v>
      </c>
      <c r="E100" s="19">
        <f>Summary_FAPAD!E8</f>
        <v>2</v>
      </c>
      <c r="F100" s="19">
        <f>Summary_FAPAD!F8</f>
        <v>0</v>
      </c>
      <c r="G100" s="19">
        <f>Summary_FAPAD!G8</f>
        <v>0</v>
      </c>
      <c r="H100" s="19">
        <f>Summary_FAPAD!H8</f>
        <v>2</v>
      </c>
      <c r="I100" s="19">
        <f>Summary_FAPAD!I8</f>
        <v>0</v>
      </c>
    </row>
    <row r="101" spans="1:9" ht="21.75" customHeight="1">
      <c r="A101" s="19">
        <v>99</v>
      </c>
      <c r="B101" s="4" t="str">
        <f>Summary_FAPAD!B9</f>
        <v>৯ শহর বিদ্যুৎ বিতরন প্রকল্প</v>
      </c>
      <c r="C101" s="19">
        <f>Summary_FAPAD!C9</f>
        <v>0</v>
      </c>
      <c r="D101" s="19">
        <f>Summary_FAPAD!D9</f>
        <v>5</v>
      </c>
      <c r="E101" s="19">
        <f>Summary_FAPAD!E9</f>
        <v>5</v>
      </c>
      <c r="F101" s="19">
        <f>Summary_FAPAD!F9</f>
        <v>5</v>
      </c>
      <c r="G101" s="19">
        <f>Summary_FAPAD!G9</f>
        <v>0</v>
      </c>
      <c r="H101" s="19">
        <f>Summary_FAPAD!H9</f>
        <v>0</v>
      </c>
      <c r="I101" s="19">
        <f>Summary_FAPAD!I9</f>
        <v>0</v>
      </c>
    </row>
    <row r="102" spans="1:9" ht="21.75" customHeight="1">
      <c r="A102" s="19">
        <v>100</v>
      </c>
      <c r="B102" s="4" t="str">
        <f>Summary_FAPAD!B10</f>
        <v>ঘোড়াশাল ৩য় ইউনিট রি-পাওয়ারিং প্রকল্প</v>
      </c>
      <c r="C102" s="19">
        <f>Summary_FAPAD!C10</f>
        <v>3</v>
      </c>
      <c r="D102" s="19">
        <f>Summary_FAPAD!D10</f>
        <v>10</v>
      </c>
      <c r="E102" s="19">
        <f>Summary_FAPAD!E10</f>
        <v>13</v>
      </c>
      <c r="F102" s="19">
        <f>Summary_FAPAD!F10</f>
        <v>0</v>
      </c>
      <c r="G102" s="19">
        <f>Summary_FAPAD!G10</f>
        <v>0</v>
      </c>
      <c r="H102" s="19">
        <f>Summary_FAPAD!H10</f>
        <v>13</v>
      </c>
      <c r="I102" s="19">
        <f>Summary_FAPAD!I10</f>
        <v>0</v>
      </c>
    </row>
    <row r="103" spans="1:9" ht="21.75" customHeight="1">
      <c r="A103" s="19">
        <v>101</v>
      </c>
      <c r="B103" s="4" t="str">
        <f>Summary_FAPAD!B11</f>
        <v>কনভারশন অব বাঘাবাড়ী ১০০ মেঃওঃ  টু ১৫০ মেঃওঃ সিসিপিপি প্রজেক্ট</v>
      </c>
      <c r="C103" s="19">
        <f>Summary_FAPAD!C11</f>
        <v>1</v>
      </c>
      <c r="D103" s="19">
        <f>Summary_FAPAD!D11</f>
        <v>0</v>
      </c>
      <c r="E103" s="19">
        <f>Summary_FAPAD!E11</f>
        <v>1</v>
      </c>
      <c r="F103" s="19">
        <f>Summary_FAPAD!F11</f>
        <v>0</v>
      </c>
      <c r="G103" s="19">
        <f>Summary_FAPAD!G11</f>
        <v>0</v>
      </c>
      <c r="H103" s="19">
        <f>Summary_FAPAD!H11</f>
        <v>1</v>
      </c>
      <c r="I103" s="19">
        <f>Summary_FAPAD!I11</f>
        <v>0</v>
      </c>
    </row>
    <row r="104" spans="1:9" ht="21.75" customHeight="1">
      <c r="A104" s="19">
        <v>102</v>
      </c>
      <c r="B104" s="4" t="str">
        <f>Summary_FAPAD!B12</f>
        <v xml:space="preserve">কর্ণফুলী পানি বিদ্যুৎ কেন্দ্র (ইউনিট- ৪ ও ৫) পুনর্বাসন প্রকল্প </v>
      </c>
      <c r="C104" s="19">
        <f>Summary_FAPAD!C12</f>
        <v>0</v>
      </c>
      <c r="D104" s="19">
        <f>Summary_FAPAD!D12</f>
        <v>1</v>
      </c>
      <c r="E104" s="19">
        <f>Summary_FAPAD!E12</f>
        <v>1</v>
      </c>
      <c r="F104" s="19">
        <f>Summary_FAPAD!F12</f>
        <v>0</v>
      </c>
      <c r="G104" s="19">
        <f>Summary_FAPAD!G12</f>
        <v>0</v>
      </c>
      <c r="H104" s="19">
        <f>Summary_FAPAD!H12</f>
        <v>0</v>
      </c>
      <c r="I104" s="19">
        <f>Summary_FAPAD!I12</f>
        <v>0</v>
      </c>
    </row>
    <row r="105" spans="1:9" ht="21.75" customHeight="1">
      <c r="A105" s="19">
        <v>103</v>
      </c>
      <c r="B105" s="4" t="str">
        <f>Summary_FAPAD!B13</f>
        <v>কর্ণফুলী পানি বিদ্যুৎ কেন্দ্র পুনর্বাসন প্রকল্প (ইউনিট-৩)</v>
      </c>
      <c r="C105" s="19">
        <f>Summary_FAPAD!C13</f>
        <v>0</v>
      </c>
      <c r="D105" s="19">
        <f>Summary_FAPAD!D13</f>
        <v>1</v>
      </c>
      <c r="E105" s="19">
        <f>Summary_FAPAD!E13</f>
        <v>1</v>
      </c>
      <c r="F105" s="19">
        <f>Summary_FAPAD!F13</f>
        <v>0</v>
      </c>
      <c r="G105" s="19">
        <f>Summary_FAPAD!G13</f>
        <v>0</v>
      </c>
      <c r="H105" s="19">
        <f>Summary_FAPAD!H13</f>
        <v>0</v>
      </c>
      <c r="I105" s="19">
        <f>Summary_FAPAD!I13</f>
        <v>0</v>
      </c>
    </row>
    <row r="106" spans="1:9" ht="21.75" customHeight="1">
      <c r="A106" s="19">
        <v>104</v>
      </c>
      <c r="B106" s="4" t="str">
        <f>Summary_FAPAD!B14</f>
        <v>ঘোড়াশাল ৩৬৫ মেঃওঃ সিসিপিপি নির্মাণ প্রকল্প</v>
      </c>
      <c r="C106" s="19">
        <f>Summary_FAPAD!C14</f>
        <v>4</v>
      </c>
      <c r="D106" s="19">
        <f>Summary_FAPAD!D14</f>
        <v>2</v>
      </c>
      <c r="E106" s="19">
        <f>Summary_FAPAD!E14</f>
        <v>6</v>
      </c>
      <c r="F106" s="19">
        <f>Summary_FAPAD!F14</f>
        <v>4</v>
      </c>
      <c r="G106" s="19">
        <f>Summary_FAPAD!G14</f>
        <v>0</v>
      </c>
      <c r="H106" s="19">
        <f>Summary_FAPAD!H14</f>
        <v>2</v>
      </c>
      <c r="I106" s="19">
        <f>Summary_FAPAD!I14</f>
        <v>0</v>
      </c>
    </row>
    <row r="107" spans="1:9" ht="21.75" customHeight="1">
      <c r="A107" s="19">
        <v>105</v>
      </c>
      <c r="B107" s="4" t="str">
        <f>Summary_FAPAD!B15</f>
        <v>ঘোড়াশাল ৪র্থ ইউনিট রি-পাওয়ারিং প্রকল্প</v>
      </c>
      <c r="C107" s="19">
        <f>Summary_FAPAD!C15</f>
        <v>0</v>
      </c>
      <c r="D107" s="19">
        <f>Summary_FAPAD!D15</f>
        <v>1</v>
      </c>
      <c r="E107" s="19">
        <f>Summary_FAPAD!E15</f>
        <v>1</v>
      </c>
      <c r="F107" s="19">
        <f>Summary_FAPAD!F15</f>
        <v>0</v>
      </c>
      <c r="G107" s="19">
        <f>Summary_FAPAD!G15</f>
        <v>0</v>
      </c>
      <c r="H107" s="19">
        <f>Summary_FAPAD!H15</f>
        <v>1</v>
      </c>
      <c r="I107" s="19">
        <f>Summary_FAPAD!I15</f>
        <v>0</v>
      </c>
    </row>
    <row r="108" spans="1:9" ht="21.75" customHeight="1">
      <c r="A108" s="19">
        <v>106</v>
      </c>
      <c r="B108" s="4" t="str">
        <f>Summary_FAPAD!B16</f>
        <v>চাঁপাইনবাবগঞ্জ ১০০ মেঃওঃ বিদ্যুৎ কেন্দ্র নির্মান প্রকল্প</v>
      </c>
      <c r="C108" s="19">
        <f>Summary_FAPAD!C16</f>
        <v>6</v>
      </c>
      <c r="D108" s="19">
        <f>Summary_FAPAD!D16</f>
        <v>2</v>
      </c>
      <c r="E108" s="19">
        <f>Summary_FAPAD!E16</f>
        <v>8</v>
      </c>
      <c r="F108" s="19">
        <f>Summary_FAPAD!F16</f>
        <v>1</v>
      </c>
      <c r="G108" s="19">
        <f>Summary_FAPAD!G16</f>
        <v>0</v>
      </c>
      <c r="H108" s="19">
        <f>Summary_FAPAD!H16</f>
        <v>7</v>
      </c>
      <c r="I108" s="19">
        <f>Summary_FAPAD!I16</f>
        <v>0</v>
      </c>
    </row>
    <row r="109" spans="1:9" ht="21.75" customHeight="1">
      <c r="A109" s="19">
        <v>107</v>
      </c>
      <c r="B109" s="4" t="str">
        <f>Summary_FAPAD!B17</f>
        <v>টেকনিক্যাল এসিসট্যান্স ফর দ্যা করপোরেশন অব বিপিডিবিস</v>
      </c>
      <c r="C109" s="19">
        <f>Summary_FAPAD!C17</f>
        <v>0</v>
      </c>
      <c r="D109" s="19">
        <f>Summary_FAPAD!D17</f>
        <v>4</v>
      </c>
      <c r="E109" s="19">
        <f>Summary_FAPAD!E17</f>
        <v>4</v>
      </c>
      <c r="F109" s="19">
        <f>Summary_FAPAD!F17</f>
        <v>0</v>
      </c>
      <c r="G109" s="19">
        <f>Summary_FAPAD!G17</f>
        <v>0</v>
      </c>
      <c r="H109" s="19">
        <f>Summary_FAPAD!H17</f>
        <v>4</v>
      </c>
      <c r="I109" s="19">
        <f>Summary_FAPAD!I17</f>
        <v>0</v>
      </c>
    </row>
    <row r="110" spans="1:9" ht="21.75" customHeight="1">
      <c r="A110" s="19">
        <v>108</v>
      </c>
      <c r="B110" s="4" t="str">
        <f>Summary_FAPAD!B18</f>
        <v>প্রি-পেমেন্ট মিটারিং প্রকল্প, বিতরন কুমিল্লা ও ময়মনসিংহ অঞ্চল</v>
      </c>
      <c r="C110" s="19">
        <f>Summary_FAPAD!C18</f>
        <v>5</v>
      </c>
      <c r="D110" s="19">
        <f>Summary_FAPAD!D18</f>
        <v>16</v>
      </c>
      <c r="E110" s="19">
        <f>Summary_FAPAD!E18</f>
        <v>21</v>
      </c>
      <c r="F110" s="19">
        <f>Summary_FAPAD!F18</f>
        <v>6</v>
      </c>
      <c r="G110" s="19">
        <f>Summary_FAPAD!G18</f>
        <v>0</v>
      </c>
      <c r="H110" s="19">
        <f>Summary_FAPAD!H18</f>
        <v>12</v>
      </c>
      <c r="I110" s="19">
        <f>Summary_FAPAD!I18</f>
        <v>0</v>
      </c>
    </row>
    <row r="111" spans="1:9" ht="21.75" customHeight="1">
      <c r="A111" s="19">
        <v>109</v>
      </c>
      <c r="B111" s="4" t="str">
        <f>Summary_FAPAD!B19</f>
        <v>বড়পুকুরিয়া ৩০০ মেঃওঃ কয়লাভিত্তিক তাপ বিদ্যুৎ কেন্দ্র নির্মাণ প্রকল্প</v>
      </c>
      <c r="C111" s="19">
        <f>Summary_FAPAD!C19</f>
        <v>0</v>
      </c>
      <c r="D111" s="19">
        <f>Summary_FAPAD!D19</f>
        <v>9</v>
      </c>
      <c r="E111" s="19">
        <f>Summary_FAPAD!E19</f>
        <v>9</v>
      </c>
      <c r="F111" s="19">
        <f>Summary_FAPAD!F19</f>
        <v>0</v>
      </c>
      <c r="G111" s="19">
        <f>Summary_FAPAD!G19</f>
        <v>0</v>
      </c>
      <c r="H111" s="19">
        <f>Summary_FAPAD!H19</f>
        <v>2</v>
      </c>
      <c r="I111" s="19">
        <f>Summary_FAPAD!I19</f>
        <v>0</v>
      </c>
    </row>
    <row r="112" spans="1:9" ht="21.75" customHeight="1">
      <c r="A112" s="19">
        <v>110</v>
      </c>
      <c r="B112" s="4" t="str">
        <f>Summary_FAPAD!B20</f>
        <v>বিবিয়ানা -৩, ৪০০ মেঃওঃ সিসিপিপি নিমার্ণ প্রকল্প</v>
      </c>
      <c r="C112" s="19">
        <f>Summary_FAPAD!C20</f>
        <v>3</v>
      </c>
      <c r="D112" s="19">
        <f>Summary_FAPAD!D20</f>
        <v>3</v>
      </c>
      <c r="E112" s="19">
        <f>Summary_FAPAD!E20</f>
        <v>6</v>
      </c>
      <c r="F112" s="19">
        <f>Summary_FAPAD!F20</f>
        <v>5</v>
      </c>
      <c r="G112" s="19">
        <f>Summary_FAPAD!G20</f>
        <v>0</v>
      </c>
      <c r="H112" s="19">
        <f>Summary_FAPAD!H20</f>
        <v>2</v>
      </c>
      <c r="I112" s="19">
        <f>Summary_FAPAD!I20</f>
        <v>0</v>
      </c>
    </row>
    <row r="113" spans="1:9" ht="21.75" customHeight="1">
      <c r="A113" s="19">
        <v>111</v>
      </c>
      <c r="B113" s="4" t="str">
        <f>Summary_FAPAD!B21</f>
        <v>বৃহত্তর চট্টগ্রাম বিদ্যুৎ বিতরণ প্রকল্প (ফেজ-৩)</v>
      </c>
      <c r="C113" s="19">
        <f>Summary_FAPAD!C21</f>
        <v>0</v>
      </c>
      <c r="D113" s="19">
        <f>Summary_FAPAD!D21</f>
        <v>2</v>
      </c>
      <c r="E113" s="19">
        <f>Summary_FAPAD!E21</f>
        <v>2</v>
      </c>
      <c r="F113" s="19">
        <f>Summary_FAPAD!F21</f>
        <v>0</v>
      </c>
      <c r="G113" s="19">
        <f>Summary_FAPAD!G21</f>
        <v>0</v>
      </c>
      <c r="H113" s="19">
        <f>Summary_FAPAD!H21</f>
        <v>0</v>
      </c>
      <c r="I113" s="19">
        <f>Summary_FAPAD!I21</f>
        <v>0</v>
      </c>
    </row>
    <row r="114" spans="1:9" ht="21.75" customHeight="1">
      <c r="A114" s="19">
        <v>112</v>
      </c>
      <c r="B114" s="4" t="str">
        <f>Summary_FAPAD!B22</f>
        <v>বৃহত্তর চট্টগ্রাম বিদ্যুৎ বিতরণ প্রকল্প-ষ্কেডা পূর্নবাসন</v>
      </c>
      <c r="C114" s="19">
        <f>Summary_FAPAD!C22</f>
        <v>0</v>
      </c>
      <c r="D114" s="19">
        <f>Summary_FAPAD!D22</f>
        <v>1</v>
      </c>
      <c r="E114" s="19">
        <f>Summary_FAPAD!E22</f>
        <v>1</v>
      </c>
      <c r="F114" s="19">
        <f>Summary_FAPAD!F22</f>
        <v>1</v>
      </c>
      <c r="G114" s="19">
        <f>Summary_FAPAD!G22</f>
        <v>0</v>
      </c>
      <c r="H114" s="19">
        <f>Summary_FAPAD!H22</f>
        <v>0</v>
      </c>
      <c r="I114" s="19">
        <f>Summary_FAPAD!I22</f>
        <v>0</v>
      </c>
    </row>
    <row r="115" spans="1:9" ht="21.75" customHeight="1">
      <c r="A115" s="19">
        <v>113</v>
      </c>
      <c r="B115" s="4" t="str">
        <f>Summary_FAPAD!B23</f>
        <v>ভোলা ২২৫ মেঃওঃ কঃসাঃ বিঃকেঃ নির্মাণ প্রকল্প</v>
      </c>
      <c r="C115" s="19">
        <f>Summary_FAPAD!C23</f>
        <v>4</v>
      </c>
      <c r="D115" s="19">
        <f>Summary_FAPAD!D23</f>
        <v>2</v>
      </c>
      <c r="E115" s="19">
        <f>Summary_FAPAD!E23</f>
        <v>6</v>
      </c>
      <c r="F115" s="19">
        <f>Summary_FAPAD!F23</f>
        <v>4</v>
      </c>
      <c r="G115" s="19">
        <f>Summary_FAPAD!G23</f>
        <v>0</v>
      </c>
      <c r="H115" s="19">
        <f>Summary_FAPAD!H23</f>
        <v>1</v>
      </c>
      <c r="I115" s="19">
        <f>Summary_FAPAD!I23</f>
        <v>0</v>
      </c>
    </row>
    <row r="116" spans="1:9" ht="21.75" customHeight="1">
      <c r="A116" s="19">
        <v>114</v>
      </c>
      <c r="B116" s="4" t="str">
        <f>Summary_FAPAD!B24</f>
        <v>শিকলবাহা ২২৫ মেঃওঃ ডুয়েল ফুয়েল সিসিপিপি নির্মাণ প্রকল্প</v>
      </c>
      <c r="C116" s="19">
        <f>Summary_FAPAD!C24</f>
        <v>0</v>
      </c>
      <c r="D116" s="19">
        <f>Summary_FAPAD!D24</f>
        <v>9</v>
      </c>
      <c r="E116" s="19">
        <f>Summary_FAPAD!E24</f>
        <v>9</v>
      </c>
      <c r="F116" s="19">
        <f>Summary_FAPAD!F24</f>
        <v>0</v>
      </c>
      <c r="G116" s="19">
        <f>Summary_FAPAD!G24</f>
        <v>0</v>
      </c>
      <c r="H116" s="19">
        <f>Summary_FAPAD!H24</f>
        <v>9</v>
      </c>
      <c r="I116" s="19">
        <f>Summary_FAPAD!I24</f>
        <v>0</v>
      </c>
    </row>
    <row r="117" spans="1:9" ht="21.75" customHeight="1">
      <c r="A117" s="19">
        <v>115</v>
      </c>
      <c r="B117" s="4" t="str">
        <f>Summary_FAPAD!B25</f>
        <v>সেন্ট্রল জোন পাওয়ার ডিষ্ট্রিবিউশন প্রজেক্ট</v>
      </c>
      <c r="C117" s="19">
        <f>Summary_FAPAD!C25</f>
        <v>0</v>
      </c>
      <c r="D117" s="19">
        <f>Summary_FAPAD!D25</f>
        <v>2</v>
      </c>
      <c r="E117" s="19">
        <f>Summary_FAPAD!E25</f>
        <v>2</v>
      </c>
      <c r="F117" s="19">
        <f>Summary_FAPAD!F25</f>
        <v>0</v>
      </c>
      <c r="G117" s="19">
        <f>Summary_FAPAD!G25</f>
        <v>0</v>
      </c>
      <c r="H117" s="19">
        <f>Summary_FAPAD!H25</f>
        <v>2</v>
      </c>
      <c r="I117" s="19">
        <f>Summary_FAPAD!I25</f>
        <v>0</v>
      </c>
    </row>
    <row r="118" spans="1:9" ht="21.75" customHeight="1">
      <c r="A118" s="19">
        <v>116</v>
      </c>
      <c r="B118" s="4" t="str">
        <f>Summary_FAPAD!B26</f>
        <v>সোলার ষ্ট্রিট লাইটিং প্রেগ্রাম ইন সিটি কর্পোরেশন</v>
      </c>
      <c r="C118" s="19">
        <f>Summary_FAPAD!C26</f>
        <v>1</v>
      </c>
      <c r="D118" s="19">
        <f>Summary_FAPAD!D26</f>
        <v>1</v>
      </c>
      <c r="E118" s="19">
        <f>Summary_FAPAD!E26</f>
        <v>2</v>
      </c>
      <c r="F118" s="19">
        <f>Summary_FAPAD!F26</f>
        <v>0</v>
      </c>
      <c r="G118" s="19">
        <f>Summary_FAPAD!G26</f>
        <v>0</v>
      </c>
      <c r="H118" s="19">
        <f>Summary_FAPAD!H26</f>
        <v>2</v>
      </c>
      <c r="I118" s="19">
        <f>Summary_FAPAD!I26</f>
        <v>0</v>
      </c>
    </row>
    <row r="119" spans="1:9" ht="21.75" customHeight="1">
      <c r="A119" s="19">
        <v>117</v>
      </c>
      <c r="B119" s="4" t="str">
        <f>Summary_FAPAD!B27</f>
        <v>হরিপুর বিদ্যুৎ কেন্দ্র-১, ২ ও ৩ ইউনিট রেনোভেশন প্রকল্প</v>
      </c>
      <c r="C119" s="19">
        <f>Summary_FAPAD!C27</f>
        <v>0</v>
      </c>
      <c r="D119" s="19">
        <f>Summary_FAPAD!D27</f>
        <v>1</v>
      </c>
      <c r="E119" s="19">
        <f>Summary_FAPAD!E27</f>
        <v>1</v>
      </c>
      <c r="F119" s="19">
        <f>Summary_FAPAD!F27</f>
        <v>0</v>
      </c>
      <c r="G119" s="19">
        <f>Summary_FAPAD!G27</f>
        <v>0</v>
      </c>
      <c r="H119" s="19">
        <f>Summary_FAPAD!H27</f>
        <v>1</v>
      </c>
      <c r="I119" s="19">
        <f>Summary_FAPAD!I27</f>
        <v>0</v>
      </c>
    </row>
    <row r="120" spans="1:9" ht="21.75" customHeight="1">
      <c r="A120" s="19">
        <v>118</v>
      </c>
      <c r="B120" s="4" t="str">
        <f>Summary_FAPAD!B28</f>
        <v>সৈয়দপুর ১৫০ মে: ও: +- ১০% সিম্পল সাইকেল (এইচএসডি ভিত্তিক) বিদ্যুৎ কেন্দ্র নির্মান প্রকল্প</v>
      </c>
      <c r="C120" s="19">
        <f>Summary_FAPAD!C28</f>
        <v>6</v>
      </c>
      <c r="D120" s="19">
        <f>Summary_FAPAD!D28</f>
        <v>6</v>
      </c>
      <c r="E120" s="19">
        <f>Summary_FAPAD!E28</f>
        <v>12</v>
      </c>
      <c r="F120" s="19">
        <f>Summary_FAPAD!F28</f>
        <v>0</v>
      </c>
      <c r="G120" s="19">
        <f>Summary_FAPAD!G28</f>
        <v>0</v>
      </c>
      <c r="H120" s="19">
        <f>Summary_FAPAD!H28</f>
        <v>11</v>
      </c>
      <c r="I120" s="19">
        <f>Summary_FAPAD!I28</f>
        <v>0</v>
      </c>
    </row>
    <row r="121" spans="1:9" ht="21.75" customHeight="1">
      <c r="A121" s="19">
        <v>119</v>
      </c>
      <c r="B121" s="4" t="str">
        <f>Summary_FAPAD!B29</f>
        <v>খুলনা ৩৩০ মেঃওঃ ডুয়েল ফুয়েল সিসিপিপি নির্মাণ প্রকল্প, বিউবো, খুলনা</v>
      </c>
      <c r="C121" s="19">
        <f>Summary_FAPAD!C29</f>
        <v>1</v>
      </c>
      <c r="D121" s="19">
        <f>Summary_FAPAD!D29</f>
        <v>0</v>
      </c>
      <c r="E121" s="19">
        <f>Summary_FAPAD!E29</f>
        <v>1</v>
      </c>
      <c r="F121" s="19">
        <f>Summary_FAPAD!F29</f>
        <v>0</v>
      </c>
      <c r="G121" s="19">
        <f>Summary_FAPAD!G29</f>
        <v>0</v>
      </c>
      <c r="H121" s="19">
        <f>Summary_FAPAD!H29</f>
        <v>1</v>
      </c>
      <c r="I121" s="19">
        <f>Summary_FAPAD!I29</f>
        <v>0</v>
      </c>
    </row>
    <row r="122" spans="1:9" ht="21.75" customHeight="1">
      <c r="A122" s="19">
        <v>120</v>
      </c>
      <c r="B122" s="4" t="str">
        <f>Summary_FAPAD!B30</f>
        <v>স্মাট প্রি-পেমেন্ট মিটিারিং প্রজেক্ট ইন ডিস্ট্রিবিউশন জোনস অফ বিপিডিবি, বিউবো, ঢাকা।</v>
      </c>
      <c r="C122" s="19">
        <f>Summary_FAPAD!C30</f>
        <v>7</v>
      </c>
      <c r="D122" s="19">
        <f>Summary_FAPAD!D30</f>
        <v>7</v>
      </c>
      <c r="E122" s="19">
        <f>Summary_FAPAD!E30</f>
        <v>14</v>
      </c>
      <c r="F122" s="19">
        <f>Summary_FAPAD!F30</f>
        <v>0</v>
      </c>
      <c r="G122" s="19">
        <f>Summary_FAPAD!G30</f>
        <v>0</v>
      </c>
      <c r="H122" s="19">
        <f>Summary_FAPAD!H30</f>
        <v>14</v>
      </c>
      <c r="I122" s="19">
        <f>Summary_FAPAD!I30</f>
        <v>0</v>
      </c>
    </row>
    <row r="123" spans="1:9" ht="21.75" customHeight="1">
      <c r="A123" s="19">
        <v>121</v>
      </c>
      <c r="B123" s="90" t="str">
        <f>Summary_Dhaka!B4</f>
        <v>ব্যবস্থাপক, সিদ্ধিরগঞ্জ বিদুৎ কেন্দ্র,বিউবো,নারায়নগঞ্জ</v>
      </c>
      <c r="C123" s="91">
        <f>Summary_Dhaka!C4</f>
        <v>0</v>
      </c>
      <c r="D123" s="91">
        <f>Summary_Dhaka!D4</f>
        <v>6</v>
      </c>
      <c r="E123" s="91">
        <f>Summary_Dhaka!E4</f>
        <v>6</v>
      </c>
      <c r="F123" s="91">
        <f>Summary_Dhaka!F4</f>
        <v>4</v>
      </c>
      <c r="G123" s="91">
        <f>Summary_Dhaka!G4</f>
        <v>3</v>
      </c>
      <c r="H123" s="91">
        <f>Summary_Dhaka!H4</f>
        <v>0</v>
      </c>
      <c r="I123" s="91">
        <f>Summary_Dhaka!I4</f>
        <v>3</v>
      </c>
    </row>
    <row r="124" spans="1:9" ht="21.75" customHeight="1">
      <c r="A124" s="19">
        <v>122</v>
      </c>
      <c r="B124" s="90" t="str">
        <f>Summary_Dhaka!B5</f>
        <v>কেন্দ্রীয় সচিবালয়,  বিউবো, ঢাকা।</v>
      </c>
      <c r="C124" s="91">
        <f>Summary_Dhaka!C5</f>
        <v>4</v>
      </c>
      <c r="D124" s="91">
        <f>Summary_Dhaka!D5</f>
        <v>9</v>
      </c>
      <c r="E124" s="91">
        <f>Summary_Dhaka!E5</f>
        <v>13</v>
      </c>
      <c r="F124" s="91">
        <f>Summary_Dhaka!F5</f>
        <v>3</v>
      </c>
      <c r="G124" s="91">
        <f>Summary_Dhaka!G5</f>
        <v>0</v>
      </c>
      <c r="H124" s="91">
        <f>Summary_Dhaka!H5</f>
        <v>3</v>
      </c>
      <c r="I124" s="91">
        <f>Summary_Dhaka!I5</f>
        <v>3</v>
      </c>
    </row>
    <row r="125" spans="1:9" ht="21.75" customHeight="1">
      <c r="A125" s="19">
        <v>123</v>
      </c>
      <c r="B125" s="90" t="str">
        <f>Summary_Dhaka!B6</f>
        <v>পরিচালক, সম্পত্তি ও যানবাহন পরিদপ্তর, বিউবো, ঢাকা।</v>
      </c>
      <c r="C125" s="91">
        <f>Summary_Dhaka!C6</f>
        <v>6</v>
      </c>
      <c r="D125" s="91">
        <f>Summary_Dhaka!D6</f>
        <v>51</v>
      </c>
      <c r="E125" s="91">
        <f>Summary_Dhaka!E6</f>
        <v>57</v>
      </c>
      <c r="F125" s="91">
        <f>Summary_Dhaka!F6</f>
        <v>12</v>
      </c>
      <c r="G125" s="91">
        <f>Summary_Dhaka!G6</f>
        <v>8</v>
      </c>
      <c r="H125" s="91">
        <f>Summary_Dhaka!H6</f>
        <v>5</v>
      </c>
      <c r="I125" s="91">
        <f>Summary_Dhaka!I6</f>
        <v>13</v>
      </c>
    </row>
    <row r="126" spans="1:9" ht="21.75" customHeight="1">
      <c r="A126" s="19">
        <v>124</v>
      </c>
      <c r="B126" s="90" t="str">
        <f>Summary_Dhaka!B7</f>
        <v>পরিচালক, ক্রয় পরিদপ্তর, বিউবো, ঢাকা।</v>
      </c>
      <c r="C126" s="91">
        <f>Summary_Dhaka!C7</f>
        <v>8</v>
      </c>
      <c r="D126" s="91">
        <f>Summary_Dhaka!D7</f>
        <v>38</v>
      </c>
      <c r="E126" s="91">
        <f>Summary_Dhaka!E7</f>
        <v>46</v>
      </c>
      <c r="F126" s="91">
        <f>Summary_Dhaka!F7</f>
        <v>18</v>
      </c>
      <c r="G126" s="91">
        <f>Summary_Dhaka!G7</f>
        <v>9</v>
      </c>
      <c r="H126" s="91">
        <f>Summary_Dhaka!H7</f>
        <v>18</v>
      </c>
      <c r="I126" s="91">
        <f>Summary_Dhaka!I7</f>
        <v>27</v>
      </c>
    </row>
    <row r="127" spans="1:9" ht="21.75" customHeight="1">
      <c r="A127" s="19">
        <v>125</v>
      </c>
      <c r="B127" s="90" t="str">
        <f>Summary_Dhaka!B8</f>
        <v>নির্বাহী প্রকৌশলী, পূর্ত নির্মাণ বিভাগ-১, বিউবো, ঢাকা।</v>
      </c>
      <c r="C127" s="91">
        <f>Summary_Dhaka!C8</f>
        <v>2</v>
      </c>
      <c r="D127" s="91">
        <f>Summary_Dhaka!D8</f>
        <v>9</v>
      </c>
      <c r="E127" s="91">
        <f>Summary_Dhaka!E8</f>
        <v>11</v>
      </c>
      <c r="F127" s="91">
        <f>Summary_Dhaka!F8</f>
        <v>13</v>
      </c>
      <c r="G127" s="91">
        <f>Summary_Dhaka!G8</f>
        <v>9</v>
      </c>
      <c r="H127" s="91">
        <f>Summary_Dhaka!H8</f>
        <v>7</v>
      </c>
      <c r="I127" s="91">
        <f>Summary_Dhaka!I8</f>
        <v>16</v>
      </c>
    </row>
    <row r="128" spans="1:9" ht="21.75" customHeight="1">
      <c r="A128" s="19">
        <v>126</v>
      </c>
      <c r="B128" s="90" t="str">
        <f>Summary_Dhaka!B9</f>
        <v>নির্বাহী প্রকৌশলী, পূর্ত নির্মাণ বিভাগ-২, বিউবো, ঢাকা।</v>
      </c>
      <c r="C128" s="91">
        <f>Summary_Dhaka!C9</f>
        <v>6</v>
      </c>
      <c r="D128" s="91">
        <f>Summary_Dhaka!D9</f>
        <v>8</v>
      </c>
      <c r="E128" s="91">
        <f>Summary_Dhaka!E9</f>
        <v>14</v>
      </c>
      <c r="F128" s="91">
        <f>Summary_Dhaka!F9</f>
        <v>12</v>
      </c>
      <c r="G128" s="91">
        <f>Summary_Dhaka!G9</f>
        <v>8</v>
      </c>
      <c r="H128" s="91">
        <f>Summary_Dhaka!H9</f>
        <v>5</v>
      </c>
      <c r="I128" s="91">
        <f>Summary_Dhaka!I9</f>
        <v>13</v>
      </c>
    </row>
    <row r="129" spans="1:9" ht="21.75" customHeight="1">
      <c r="A129" s="19">
        <v>127</v>
      </c>
      <c r="B129" s="90" t="str">
        <f>Summary_Dhaka!B10</f>
        <v>পরিচালক, বৈদ্যুতিক সরঞ্জাম পরিদপ্তর বিউবো, ঢাকা।</v>
      </c>
      <c r="C129" s="91">
        <f>Summary_Dhaka!C10</f>
        <v>0</v>
      </c>
      <c r="D129" s="91">
        <f>Summary_Dhaka!D10</f>
        <v>2</v>
      </c>
      <c r="E129" s="91">
        <f>Summary_Dhaka!E10</f>
        <v>2</v>
      </c>
      <c r="F129" s="91">
        <f>Summary_Dhaka!F10</f>
        <v>1</v>
      </c>
      <c r="G129" s="91">
        <f>Summary_Dhaka!G10</f>
        <v>0</v>
      </c>
      <c r="H129" s="91">
        <f>Summary_Dhaka!H10</f>
        <v>0</v>
      </c>
      <c r="I129" s="91">
        <f>Summary_Dhaka!I10</f>
        <v>0</v>
      </c>
    </row>
    <row r="130" spans="1:9" ht="21.75" customHeight="1">
      <c r="A130" s="19">
        <v>128</v>
      </c>
      <c r="B130" s="90" t="str">
        <f>Summary_Dhaka!B11</f>
        <v>প্রধান প্রকৌশলী, প্রাইভেট জেনারেশন, বিউবো, ঢাকা।</v>
      </c>
      <c r="C130" s="91">
        <f>Summary_Dhaka!C11</f>
        <v>2</v>
      </c>
      <c r="D130" s="91">
        <f>Summary_Dhaka!D11</f>
        <v>21</v>
      </c>
      <c r="E130" s="91">
        <f>Summary_Dhaka!E11</f>
        <v>23</v>
      </c>
      <c r="F130" s="91">
        <f>Summary_Dhaka!F11</f>
        <v>0</v>
      </c>
      <c r="G130" s="91">
        <f>Summary_Dhaka!G11</f>
        <v>0</v>
      </c>
      <c r="H130" s="91">
        <f>Summary_Dhaka!H11</f>
        <v>19</v>
      </c>
      <c r="I130" s="91">
        <f>Summary_Dhaka!I11</f>
        <v>19</v>
      </c>
    </row>
    <row r="131" spans="1:9" ht="21.75" customHeight="1">
      <c r="A131" s="19">
        <v>129</v>
      </c>
      <c r="B131" s="90" t="str">
        <f>Summary_Dhaka!B12</f>
        <v>প্রধান প্রকৌশলী,   ঘোড়াশাল বিদ্যুৎ কেন্দ্র,  বিউবো, পলাশ, নরসিংদী</v>
      </c>
      <c r="C131" s="91">
        <f>Summary_Dhaka!C12</f>
        <v>0</v>
      </c>
      <c r="D131" s="91">
        <f>Summary_Dhaka!D12</f>
        <v>5</v>
      </c>
      <c r="E131" s="91">
        <f>Summary_Dhaka!E12</f>
        <v>5</v>
      </c>
      <c r="F131" s="91">
        <f>Summary_Dhaka!F12</f>
        <v>1</v>
      </c>
      <c r="G131" s="91">
        <f>Summary_Dhaka!G12</f>
        <v>1</v>
      </c>
      <c r="H131" s="91">
        <f>Summary_Dhaka!H12</f>
        <v>0</v>
      </c>
      <c r="I131" s="91">
        <f>Summary_Dhaka!I12</f>
        <v>1</v>
      </c>
    </row>
    <row r="132" spans="1:9" ht="21.75" customHeight="1">
      <c r="A132" s="19">
        <v>130</v>
      </c>
      <c r="B132" s="90" t="str">
        <f>Summary_Dhaka!B13</f>
        <v xml:space="preserve">১০০ মেঃ ওঃ হরিপুর বিদ্যুৎ কেন্দ্র, বিউবো, নারায়নগঞ্জ।  </v>
      </c>
      <c r="C132" s="91">
        <f>Summary_Dhaka!C13</f>
        <v>0</v>
      </c>
      <c r="D132" s="91">
        <f>Summary_Dhaka!D13</f>
        <v>2</v>
      </c>
      <c r="E132" s="91">
        <f>Summary_Dhaka!E13</f>
        <v>2</v>
      </c>
      <c r="F132" s="91">
        <f>Summary_Dhaka!F13</f>
        <v>1</v>
      </c>
      <c r="G132" s="91">
        <f>Summary_Dhaka!G13</f>
        <v>1</v>
      </c>
      <c r="H132" s="91">
        <f>Summary_Dhaka!H13</f>
        <v>0</v>
      </c>
      <c r="I132" s="91">
        <f>Summary_Dhaka!I13</f>
        <v>1</v>
      </c>
    </row>
    <row r="133" spans="1:9" ht="21.75" customHeight="1">
      <c r="A133" s="19">
        <v>131</v>
      </c>
      <c r="B133" s="90" t="str">
        <f>Summary_Dhaka!B14</f>
        <v>নির্বাহী প্রকৌশলী, পিসিপোল বিভাগ,আরিচা, বিউবো, মানিকগঞ্জ</v>
      </c>
      <c r="C133" s="91">
        <f>Summary_Dhaka!C14</f>
        <v>5</v>
      </c>
      <c r="D133" s="91">
        <f>Summary_Dhaka!D14</f>
        <v>27</v>
      </c>
      <c r="E133" s="91">
        <f>Summary_Dhaka!E14</f>
        <v>32</v>
      </c>
      <c r="F133" s="91">
        <f>Summary_Dhaka!F14</f>
        <v>28</v>
      </c>
      <c r="G133" s="91">
        <f>Summary_Dhaka!G14</f>
        <v>20</v>
      </c>
      <c r="H133" s="91">
        <f>Summary_Dhaka!H14</f>
        <v>9</v>
      </c>
      <c r="I133" s="91">
        <f>Summary_Dhaka!I14</f>
        <v>29</v>
      </c>
    </row>
    <row r="134" spans="1:9" ht="21.75" customHeight="1">
      <c r="A134" s="19">
        <v>132</v>
      </c>
      <c r="B134" s="90" t="str">
        <f>Summary_Dhaka!B15</f>
        <v>কেন্দ্রীয় মেরামত কারখানা, বিউবো, টংগী, গাজীপুর (সিইআরএস)</v>
      </c>
      <c r="C134" s="91">
        <f>Summary_Dhaka!C15</f>
        <v>0</v>
      </c>
      <c r="D134" s="91">
        <f>Summary_Dhaka!D15</f>
        <v>3</v>
      </c>
      <c r="E134" s="91">
        <f>Summary_Dhaka!E15</f>
        <v>3</v>
      </c>
      <c r="F134" s="91">
        <f>Summary_Dhaka!F15</f>
        <v>3</v>
      </c>
      <c r="G134" s="91">
        <f>Summary_Dhaka!G15</f>
        <v>1</v>
      </c>
      <c r="H134" s="91">
        <f>Summary_Dhaka!H15</f>
        <v>0</v>
      </c>
      <c r="I134" s="91">
        <f>Summary_Dhaka!I15</f>
        <v>1</v>
      </c>
    </row>
    <row r="135" spans="1:9" ht="21.75" customHeight="1">
      <c r="A135" s="19">
        <v>133</v>
      </c>
      <c r="B135" s="90" t="str">
        <f>Summary_Dhaka!B16</f>
        <v xml:space="preserve">আঞ্চলিক মেরামত কারখানা, বিউবো, টংগী,গাজীপুর। </v>
      </c>
      <c r="C135" s="91">
        <f>Summary_Dhaka!C16</f>
        <v>2</v>
      </c>
      <c r="D135" s="91">
        <f>Summary_Dhaka!D16</f>
        <v>2</v>
      </c>
      <c r="E135" s="91">
        <f>Summary_Dhaka!E16</f>
        <v>4</v>
      </c>
      <c r="F135" s="91">
        <f>Summary_Dhaka!F16</f>
        <v>0</v>
      </c>
      <c r="G135" s="91">
        <f>Summary_Dhaka!G16</f>
        <v>0</v>
      </c>
      <c r="H135" s="91">
        <f>Summary_Dhaka!H16</f>
        <v>0</v>
      </c>
      <c r="I135" s="91">
        <f>Summary_Dhaka!I16</f>
        <v>0</v>
      </c>
    </row>
    <row r="136" spans="1:9" ht="21.75" customHeight="1">
      <c r="A136" s="19">
        <v>134</v>
      </c>
      <c r="B136" s="90" t="str">
        <f>Summary_Dhaka!B17</f>
        <v>উপ-পরিচালক, আঞ্চলিক, প্রশিক্ষণ কেন্দ্র, বিউবো, টঙ্গী, গাজীপুর।</v>
      </c>
      <c r="C136" s="91">
        <f>Summary_Dhaka!C17</f>
        <v>0</v>
      </c>
      <c r="D136" s="91">
        <f>Summary_Dhaka!D17</f>
        <v>1</v>
      </c>
      <c r="E136" s="91">
        <f>Summary_Dhaka!E17</f>
        <v>1</v>
      </c>
      <c r="F136" s="91">
        <f>Summary_Dhaka!F17</f>
        <v>0</v>
      </c>
      <c r="G136" s="91">
        <f>Summary_Dhaka!G17</f>
        <v>0</v>
      </c>
      <c r="H136" s="91">
        <f>Summary_Dhaka!H17</f>
        <v>0</v>
      </c>
      <c r="I136" s="91">
        <f>Summary_Dhaka!I17</f>
        <v>0</v>
      </c>
    </row>
    <row r="137" spans="1:9" ht="21.75" customHeight="1">
      <c r="A137" s="19">
        <v>135</v>
      </c>
      <c r="B137" s="90" t="str">
        <f>Summary_Dhaka!B18</f>
        <v>কেন্দ্রীয়ভান্ডার, বিউবো, টঙ্গী, গাজীপুর</v>
      </c>
      <c r="C137" s="91">
        <f>Summary_Dhaka!C18</f>
        <v>2</v>
      </c>
      <c r="D137" s="91">
        <f>Summary_Dhaka!D18</f>
        <v>3</v>
      </c>
      <c r="E137" s="91">
        <f>Summary_Dhaka!E18</f>
        <v>5</v>
      </c>
      <c r="F137" s="91">
        <f>Summary_Dhaka!F18</f>
        <v>0</v>
      </c>
      <c r="G137" s="91">
        <f>Summary_Dhaka!G18</f>
        <v>0</v>
      </c>
      <c r="H137" s="91">
        <f>Summary_Dhaka!H18</f>
        <v>0</v>
      </c>
      <c r="I137" s="91">
        <f>Summary_Dhaka!I18</f>
        <v>0</v>
      </c>
    </row>
    <row r="138" spans="1:9" ht="21.75" customHeight="1">
      <c r="A138" s="19">
        <v>136</v>
      </c>
      <c r="B138" s="90" t="str">
        <f>Summary_Dhaka!B19</f>
        <v>প্রধান প্রকৌশলী, উৎপাদন,  বিউবো, ঢাকা</v>
      </c>
      <c r="C138" s="91">
        <f>Summary_Dhaka!C19</f>
        <v>1</v>
      </c>
      <c r="D138" s="91">
        <f>Summary_Dhaka!D19</f>
        <v>2</v>
      </c>
      <c r="E138" s="91">
        <f>Summary_Dhaka!E19</f>
        <v>3</v>
      </c>
      <c r="F138" s="91">
        <f>Summary_Dhaka!F19</f>
        <v>2</v>
      </c>
      <c r="G138" s="91">
        <f>Summary_Dhaka!G19</f>
        <v>1</v>
      </c>
      <c r="H138" s="91">
        <f>Summary_Dhaka!H19</f>
        <v>3</v>
      </c>
      <c r="I138" s="91">
        <f>Summary_Dhaka!I19</f>
        <v>4</v>
      </c>
    </row>
    <row r="139" spans="1:9" ht="21.75" customHeight="1">
      <c r="A139" s="19">
        <v>137</v>
      </c>
      <c r="B139" s="90" t="str">
        <f>Summary_Dhaka!B20</f>
        <v>আইপিপি সেল-০২, বিউবো, ঢাকা</v>
      </c>
      <c r="C139" s="91">
        <f>Summary_Dhaka!C20</f>
        <v>3</v>
      </c>
      <c r="D139" s="91">
        <f>Summary_Dhaka!D20</f>
        <v>5</v>
      </c>
      <c r="E139" s="91">
        <f>Summary_Dhaka!E20</f>
        <v>8</v>
      </c>
      <c r="F139" s="91">
        <f>Summary_Dhaka!F20</f>
        <v>0</v>
      </c>
      <c r="G139" s="91">
        <f>Summary_Dhaka!G20</f>
        <v>0</v>
      </c>
      <c r="H139" s="91">
        <f>Summary_Dhaka!H20</f>
        <v>0</v>
      </c>
      <c r="I139" s="91">
        <f>Summary_Dhaka!I20</f>
        <v>0</v>
      </c>
    </row>
    <row r="140" spans="1:9" ht="21.75" customHeight="1">
      <c r="A140" s="19">
        <v>138</v>
      </c>
      <c r="B140" s="90" t="str">
        <f>Summary_Dhaka!B21</f>
        <v>আইপিপি সেল-০১, বিউবো, ঢাকা</v>
      </c>
      <c r="C140" s="91">
        <f>Summary_Dhaka!C21</f>
        <v>0</v>
      </c>
      <c r="D140" s="91">
        <f>Summary_Dhaka!D21</f>
        <v>1</v>
      </c>
      <c r="E140" s="91">
        <f>Summary_Dhaka!E21</f>
        <v>1</v>
      </c>
      <c r="F140" s="91">
        <f>Summary_Dhaka!F21</f>
        <v>1</v>
      </c>
      <c r="G140" s="91">
        <f>Summary_Dhaka!G21</f>
        <v>0</v>
      </c>
      <c r="H140" s="91">
        <f>Summary_Dhaka!H21</f>
        <v>4</v>
      </c>
      <c r="I140" s="91">
        <f>Summary_Dhaka!I21</f>
        <v>4</v>
      </c>
    </row>
    <row r="141" spans="1:9" ht="21.75" customHeight="1">
      <c r="A141" s="19">
        <v>139</v>
      </c>
      <c r="B141" s="90" t="str">
        <f>Summary_Dhaka!B22</f>
        <v>পরিচালক, কর্মচারী পরিদপ্তর, বিউবো, ঢাকা।</v>
      </c>
      <c r="C141" s="91">
        <f>Summary_Dhaka!C22</f>
        <v>1</v>
      </c>
      <c r="D141" s="91">
        <f>Summary_Dhaka!D22</f>
        <v>4</v>
      </c>
      <c r="E141" s="91">
        <f>Summary_Dhaka!E22</f>
        <v>5</v>
      </c>
      <c r="F141" s="91">
        <f>Summary_Dhaka!F22</f>
        <v>4</v>
      </c>
      <c r="G141" s="91">
        <f>Summary_Dhaka!G22</f>
        <v>2</v>
      </c>
      <c r="H141" s="91">
        <f>Summary_Dhaka!H22</f>
        <v>4</v>
      </c>
      <c r="I141" s="91">
        <f>Summary_Dhaka!I22</f>
        <v>6</v>
      </c>
    </row>
    <row r="142" spans="1:9" ht="21.75" customHeight="1">
      <c r="A142" s="19">
        <v>140</v>
      </c>
      <c r="B142" s="90" t="str">
        <f>Summary_Dhaka!B23</f>
        <v xml:space="preserve">মহাব্যবস্থাপক, বাণিজ্যিক পরিচালন, বিউবো, ঢাকা </v>
      </c>
      <c r="C142" s="91">
        <f>Summary_Dhaka!C23</f>
        <v>0</v>
      </c>
      <c r="D142" s="91">
        <f>Summary_Dhaka!D23</f>
        <v>1</v>
      </c>
      <c r="E142" s="91">
        <f>Summary_Dhaka!E23</f>
        <v>1</v>
      </c>
      <c r="F142" s="91">
        <f>Summary_Dhaka!F23</f>
        <v>0</v>
      </c>
      <c r="G142" s="91">
        <f>Summary_Dhaka!G23</f>
        <v>0</v>
      </c>
      <c r="H142" s="91">
        <f>Summary_Dhaka!H23</f>
        <v>0</v>
      </c>
      <c r="I142" s="91">
        <f>Summary_Dhaka!I23</f>
        <v>0</v>
      </c>
    </row>
    <row r="143" spans="1:9" ht="21.75" customHeight="1">
      <c r="A143" s="19">
        <v>141</v>
      </c>
      <c r="B143" s="90" t="str">
        <f>Summary_Dhaka!B24</f>
        <v>প্রকল্প পরিচালক (প্রধান প্রকৌশলী), জি টি পি- এস-ই-প্রকল্প, ২১০ মেঃওঃ ঘোড়াশাল তাপ বিদ্যুৎ কেন্দ্র স¤ক্স্রসারণ প্রকল্প, বিউবো, পলাশ, ঘোড়াশাল।</v>
      </c>
      <c r="C143" s="91">
        <f>Summary_Dhaka!C24</f>
        <v>0</v>
      </c>
      <c r="D143" s="91">
        <f>Summary_Dhaka!D24</f>
        <v>1</v>
      </c>
      <c r="E143" s="91">
        <f>Summary_Dhaka!E24</f>
        <v>0</v>
      </c>
      <c r="F143" s="91">
        <f>Summary_Dhaka!F24</f>
        <v>0</v>
      </c>
      <c r="G143" s="91">
        <f>Summary_Dhaka!G24</f>
        <v>0</v>
      </c>
      <c r="H143" s="91">
        <f>Summary_Dhaka!H24</f>
        <v>0</v>
      </c>
      <c r="I143" s="91">
        <f>Summary_Dhaka!I24</f>
        <v>0</v>
      </c>
    </row>
    <row r="144" spans="1:9" ht="21.75" customHeight="1">
      <c r="A144" s="374" t="s">
        <v>2137</v>
      </c>
      <c r="B144" s="374"/>
      <c r="C144" s="92">
        <f>SUM(C3:C143)</f>
        <v>308</v>
      </c>
      <c r="D144" s="92">
        <f t="shared" ref="D144:I144" si="0">SUM(D3:D143)</f>
        <v>895</v>
      </c>
      <c r="E144" s="92">
        <f t="shared" si="0"/>
        <v>1202</v>
      </c>
      <c r="F144" s="92">
        <f t="shared" si="0"/>
        <v>286</v>
      </c>
      <c r="G144" s="92">
        <f t="shared" si="0"/>
        <v>155</v>
      </c>
      <c r="H144" s="92">
        <f t="shared" si="0"/>
        <v>369</v>
      </c>
      <c r="I144" s="92">
        <f t="shared" si="0"/>
        <v>433</v>
      </c>
    </row>
  </sheetData>
  <mergeCells count="2">
    <mergeCell ref="A1:H1"/>
    <mergeCell ref="A144:B144"/>
  </mergeCells>
  <conditionalFormatting sqref="B3:I66">
    <cfRule type="expression" dxfId="9" priority="1">
      <formula>MOD(ROW(),2)=0</formula>
    </cfRule>
  </conditionalFormatting>
  <pageMargins left="0.7" right="0.17" top="0.75" bottom="0.75" header="0.3" footer="0.3"/>
  <pageSetup paperSize="9" scale="8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2A31A-F802-401F-AA3B-2A75BDB3C4E0}">
  <dimension ref="A1:I29"/>
  <sheetViews>
    <sheetView zoomScale="80" zoomScaleNormal="80" workbookViewId="0">
      <selection activeCell="A3" sqref="A3:XFD3"/>
    </sheetView>
  </sheetViews>
  <sheetFormatPr defaultRowHeight="21.75" customHeight="1"/>
  <cols>
    <col min="1" max="1" width="7.28515625" style="25" customWidth="1"/>
    <col min="2" max="2" width="43.140625" customWidth="1"/>
    <col min="3" max="3" width="7" customWidth="1"/>
    <col min="4" max="4" width="7.140625" customWidth="1"/>
    <col min="5" max="5" width="7.140625" style="25" customWidth="1"/>
    <col min="6" max="6" width="11" style="25" customWidth="1"/>
    <col min="7" max="7" width="11.7109375" style="25" customWidth="1"/>
    <col min="8" max="9" width="9.28515625" style="25" customWidth="1"/>
  </cols>
  <sheetData>
    <row r="1" spans="1:9" ht="56.25" customHeight="1">
      <c r="A1" s="375" t="s">
        <v>227</v>
      </c>
      <c r="B1" s="376"/>
      <c r="C1" s="376"/>
      <c r="D1" s="376"/>
      <c r="E1" s="376"/>
      <c r="F1" s="376"/>
      <c r="G1" s="376"/>
      <c r="H1" s="376"/>
      <c r="I1" s="12"/>
    </row>
    <row r="2" spans="1:9" s="17" customFormat="1" ht="47.25">
      <c r="A2" s="9" t="s">
        <v>0</v>
      </c>
      <c r="B2" s="13" t="s">
        <v>1</v>
      </c>
      <c r="C2" s="14" t="s">
        <v>228</v>
      </c>
      <c r="D2" s="15" t="s">
        <v>229</v>
      </c>
      <c r="E2" s="13" t="s">
        <v>230</v>
      </c>
      <c r="F2" s="9" t="s">
        <v>231</v>
      </c>
      <c r="G2" s="9" t="s">
        <v>232</v>
      </c>
      <c r="H2" s="9" t="s">
        <v>233</v>
      </c>
      <c r="I2" s="16" t="s">
        <v>234</v>
      </c>
    </row>
    <row r="3" spans="1:9" ht="30.75" customHeight="1">
      <c r="A3" s="19">
        <v>1</v>
      </c>
      <c r="B3" s="20" t="s">
        <v>74</v>
      </c>
      <c r="C3" s="21">
        <v>4</v>
      </c>
      <c r="D3" s="21">
        <v>0</v>
      </c>
      <c r="E3" s="21">
        <v>4</v>
      </c>
      <c r="F3" s="13">
        <v>3</v>
      </c>
      <c r="G3" s="13">
        <v>3</v>
      </c>
      <c r="H3" s="13">
        <v>3</v>
      </c>
      <c r="I3" s="13">
        <v>6</v>
      </c>
    </row>
    <row r="4" spans="1:9" ht="23.25" customHeight="1">
      <c r="A4" s="19">
        <v>2</v>
      </c>
      <c r="B4" s="20" t="s">
        <v>8</v>
      </c>
      <c r="C4" s="21">
        <v>9</v>
      </c>
      <c r="D4" s="21">
        <v>1</v>
      </c>
      <c r="E4" s="21">
        <v>10</v>
      </c>
      <c r="F4" s="13">
        <v>2</v>
      </c>
      <c r="G4" s="13">
        <v>2</v>
      </c>
      <c r="H4" s="13">
        <v>8</v>
      </c>
      <c r="I4" s="13">
        <v>10</v>
      </c>
    </row>
    <row r="5" spans="1:9" ht="42.75" customHeight="1">
      <c r="A5" s="19">
        <v>3</v>
      </c>
      <c r="B5" s="20" t="s">
        <v>236</v>
      </c>
      <c r="C5" s="21">
        <f>4+1+1+1+1+1+1</f>
        <v>10</v>
      </c>
      <c r="D5" s="21">
        <f>2</f>
        <v>2</v>
      </c>
      <c r="E5" s="21">
        <v>12</v>
      </c>
      <c r="F5" s="13">
        <v>5</v>
      </c>
      <c r="G5" s="13">
        <v>5</v>
      </c>
      <c r="H5" s="13">
        <v>7</v>
      </c>
      <c r="I5" s="13">
        <v>12</v>
      </c>
    </row>
    <row r="6" spans="1:9" ht="21.75" customHeight="1">
      <c r="A6" s="19">
        <v>4</v>
      </c>
      <c r="B6" s="20" t="s">
        <v>122</v>
      </c>
      <c r="C6" s="21">
        <f>1+1+1+1+1+1+4</f>
        <v>10</v>
      </c>
      <c r="D6" s="21">
        <v>0</v>
      </c>
      <c r="E6" s="21">
        <v>10</v>
      </c>
      <c r="F6" s="19"/>
      <c r="G6" s="19"/>
      <c r="H6" s="13">
        <v>6</v>
      </c>
      <c r="I6" s="13">
        <v>6</v>
      </c>
    </row>
    <row r="7" spans="1:9" ht="29.25" customHeight="1">
      <c r="A7" s="19">
        <v>5</v>
      </c>
      <c r="B7" s="20" t="s">
        <v>110</v>
      </c>
      <c r="C7" s="22">
        <v>6</v>
      </c>
      <c r="D7" s="22">
        <v>1</v>
      </c>
      <c r="E7" s="22">
        <v>7</v>
      </c>
      <c r="F7" s="13">
        <v>1</v>
      </c>
      <c r="G7" s="13">
        <v>1</v>
      </c>
      <c r="H7" s="13">
        <v>5</v>
      </c>
      <c r="I7" s="13">
        <v>6</v>
      </c>
    </row>
    <row r="8" spans="1:9" ht="28.5" customHeight="1">
      <c r="A8" s="19">
        <v>6</v>
      </c>
      <c r="B8" s="20" t="s">
        <v>237</v>
      </c>
      <c r="C8" s="22">
        <v>1</v>
      </c>
      <c r="D8" s="22">
        <v>1</v>
      </c>
      <c r="E8" s="22">
        <v>2</v>
      </c>
      <c r="F8" s="13">
        <v>1</v>
      </c>
      <c r="G8" s="13">
        <v>1</v>
      </c>
      <c r="H8" s="13"/>
      <c r="I8" s="13">
        <v>1</v>
      </c>
    </row>
    <row r="9" spans="1:9" ht="32.25" customHeight="1">
      <c r="A9" s="19">
        <v>7</v>
      </c>
      <c r="B9" s="20" t="s">
        <v>238</v>
      </c>
      <c r="C9" s="21">
        <v>19</v>
      </c>
      <c r="D9" s="21">
        <v>3</v>
      </c>
      <c r="E9" s="21">
        <v>22</v>
      </c>
      <c r="F9" s="13">
        <v>7</v>
      </c>
      <c r="G9" s="13">
        <v>7</v>
      </c>
      <c r="H9" s="13">
        <v>12</v>
      </c>
      <c r="I9" s="13">
        <v>19</v>
      </c>
    </row>
    <row r="10" spans="1:9" ht="33.75" customHeight="1">
      <c r="A10" s="19">
        <v>8</v>
      </c>
      <c r="B10" s="20" t="s">
        <v>239</v>
      </c>
      <c r="C10" s="21">
        <v>5</v>
      </c>
      <c r="D10" s="21">
        <v>2</v>
      </c>
      <c r="E10" s="21">
        <v>7</v>
      </c>
      <c r="F10" s="13">
        <v>5</v>
      </c>
      <c r="G10" s="13">
        <v>2</v>
      </c>
      <c r="H10" s="13">
        <v>5</v>
      </c>
      <c r="I10" s="13">
        <v>7</v>
      </c>
    </row>
    <row r="11" spans="1:9" ht="30.75" customHeight="1">
      <c r="A11" s="19">
        <v>9</v>
      </c>
      <c r="B11" s="20" t="s">
        <v>64</v>
      </c>
      <c r="C11" s="22">
        <v>1</v>
      </c>
      <c r="D11" s="22">
        <v>0</v>
      </c>
      <c r="E11" s="22">
        <v>1</v>
      </c>
      <c r="F11" s="13">
        <v>1</v>
      </c>
      <c r="G11" s="13">
        <v>1</v>
      </c>
      <c r="H11" s="19"/>
      <c r="I11" s="13">
        <v>1</v>
      </c>
    </row>
    <row r="12" spans="1:9" ht="33" customHeight="1">
      <c r="A12" s="19">
        <v>10</v>
      </c>
      <c r="B12" s="20" t="s">
        <v>66</v>
      </c>
      <c r="C12" s="21">
        <v>0</v>
      </c>
      <c r="D12" s="21">
        <v>1</v>
      </c>
      <c r="E12" s="21">
        <v>1</v>
      </c>
      <c r="F12" s="13">
        <v>1</v>
      </c>
      <c r="G12" s="13">
        <v>1</v>
      </c>
      <c r="H12" s="19"/>
      <c r="I12" s="13">
        <v>1</v>
      </c>
    </row>
    <row r="13" spans="1:9" ht="31.5" customHeight="1">
      <c r="A13" s="19">
        <v>11</v>
      </c>
      <c r="B13" s="20" t="s">
        <v>88</v>
      </c>
      <c r="C13" s="21">
        <v>1</v>
      </c>
      <c r="D13" s="21">
        <v>0</v>
      </c>
      <c r="E13" s="21">
        <v>1</v>
      </c>
      <c r="F13" s="13">
        <v>1</v>
      </c>
      <c r="G13" s="13">
        <v>1</v>
      </c>
      <c r="H13" s="13">
        <v>1</v>
      </c>
      <c r="I13" s="13">
        <v>2</v>
      </c>
    </row>
    <row r="14" spans="1:9" ht="32.25" customHeight="1">
      <c r="A14" s="19">
        <v>12</v>
      </c>
      <c r="B14" s="20" t="s">
        <v>240</v>
      </c>
      <c r="C14" s="21">
        <v>15</v>
      </c>
      <c r="D14" s="21">
        <v>6</v>
      </c>
      <c r="E14" s="21">
        <v>21</v>
      </c>
      <c r="F14" s="13">
        <v>12</v>
      </c>
      <c r="G14" s="13">
        <v>9</v>
      </c>
      <c r="H14" s="13">
        <v>7</v>
      </c>
      <c r="I14" s="13">
        <v>16</v>
      </c>
    </row>
    <row r="15" spans="1:9" ht="33.75" customHeight="1">
      <c r="A15" s="19">
        <v>13</v>
      </c>
      <c r="B15" s="20" t="s">
        <v>30</v>
      </c>
      <c r="C15" s="21">
        <v>1</v>
      </c>
      <c r="D15" s="21">
        <v>0</v>
      </c>
      <c r="E15" s="21">
        <v>1</v>
      </c>
      <c r="F15" s="19"/>
      <c r="G15" s="19"/>
      <c r="H15" s="13">
        <v>1</v>
      </c>
      <c r="I15" s="13">
        <v>1</v>
      </c>
    </row>
    <row r="16" spans="1:9" ht="33" customHeight="1">
      <c r="A16" s="19">
        <v>14</v>
      </c>
      <c r="B16" s="20" t="s">
        <v>241</v>
      </c>
      <c r="C16" s="21">
        <v>1</v>
      </c>
      <c r="D16" s="21">
        <v>0</v>
      </c>
      <c r="E16" s="21">
        <v>1</v>
      </c>
      <c r="F16" s="19"/>
      <c r="G16" s="19"/>
      <c r="H16" s="19"/>
      <c r="I16" s="19"/>
    </row>
    <row r="17" spans="1:9" ht="28.5" customHeight="1">
      <c r="A17" s="19">
        <v>15</v>
      </c>
      <c r="B17" s="20" t="s">
        <v>242</v>
      </c>
      <c r="C17" s="21">
        <v>4</v>
      </c>
      <c r="D17" s="21">
        <v>1</v>
      </c>
      <c r="E17" s="21">
        <v>5</v>
      </c>
      <c r="F17" s="13">
        <v>1</v>
      </c>
      <c r="G17" s="13">
        <v>1</v>
      </c>
      <c r="H17" s="19"/>
      <c r="I17" s="13">
        <v>1</v>
      </c>
    </row>
    <row r="18" spans="1:9" ht="33" customHeight="1">
      <c r="A18" s="19">
        <v>16</v>
      </c>
      <c r="B18" s="20" t="s">
        <v>96</v>
      </c>
      <c r="C18" s="21">
        <v>3</v>
      </c>
      <c r="D18" s="21">
        <v>2</v>
      </c>
      <c r="E18" s="21">
        <v>5</v>
      </c>
      <c r="F18" s="13">
        <v>5</v>
      </c>
      <c r="G18" s="13">
        <v>4</v>
      </c>
      <c r="H18" s="13">
        <v>1</v>
      </c>
      <c r="I18" s="13">
        <v>5</v>
      </c>
    </row>
    <row r="19" spans="1:9" ht="26.25" customHeight="1">
      <c r="A19" s="19">
        <v>17</v>
      </c>
      <c r="B19" s="20" t="s">
        <v>243</v>
      </c>
      <c r="C19" s="21">
        <v>3</v>
      </c>
      <c r="D19" s="21">
        <v>0</v>
      </c>
      <c r="E19" s="21">
        <v>3</v>
      </c>
      <c r="F19" s="13">
        <v>2</v>
      </c>
      <c r="G19" s="13">
        <v>1</v>
      </c>
      <c r="H19" s="13">
        <v>2</v>
      </c>
      <c r="I19" s="13">
        <v>3</v>
      </c>
    </row>
    <row r="20" spans="1:9" ht="19.5" customHeight="1">
      <c r="A20" s="19">
        <v>18</v>
      </c>
      <c r="B20" s="20" t="s">
        <v>83</v>
      </c>
      <c r="C20" s="21">
        <v>2</v>
      </c>
      <c r="D20" s="21">
        <v>0</v>
      </c>
      <c r="E20" s="21">
        <v>2</v>
      </c>
      <c r="F20" s="19">
        <v>1</v>
      </c>
      <c r="G20" s="19">
        <v>1</v>
      </c>
      <c r="H20" s="19">
        <v>1</v>
      </c>
      <c r="I20" s="19">
        <v>2</v>
      </c>
    </row>
    <row r="21" spans="1:9" ht="24" customHeight="1">
      <c r="A21" s="19">
        <v>19</v>
      </c>
      <c r="B21" s="20" t="s">
        <v>72</v>
      </c>
      <c r="C21" s="21"/>
      <c r="D21" s="21">
        <v>1</v>
      </c>
      <c r="E21" s="21">
        <v>1</v>
      </c>
      <c r="F21" s="13">
        <v>1</v>
      </c>
      <c r="G21" s="13"/>
      <c r="H21" s="13"/>
      <c r="I21" s="13"/>
    </row>
    <row r="22" spans="1:9" ht="24" customHeight="1">
      <c r="A22" s="19">
        <v>20</v>
      </c>
      <c r="B22" s="20" t="s">
        <v>244</v>
      </c>
      <c r="C22" s="21">
        <v>5</v>
      </c>
      <c r="D22" s="21"/>
      <c r="E22" s="21">
        <v>5</v>
      </c>
      <c r="F22" s="19"/>
      <c r="G22" s="19"/>
      <c r="H22" s="13">
        <v>4</v>
      </c>
      <c r="I22" s="13">
        <v>4</v>
      </c>
    </row>
    <row r="23" spans="1:9" ht="24" customHeight="1">
      <c r="A23" s="19">
        <v>21</v>
      </c>
      <c r="B23" s="20" t="s">
        <v>245</v>
      </c>
      <c r="C23" s="21">
        <v>6</v>
      </c>
      <c r="D23" s="21"/>
      <c r="E23" s="21">
        <v>6</v>
      </c>
      <c r="F23" s="19"/>
      <c r="G23" s="19"/>
      <c r="H23" s="13">
        <v>5</v>
      </c>
      <c r="I23" s="13">
        <v>5</v>
      </c>
    </row>
    <row r="24" spans="1:9" ht="33" customHeight="1">
      <c r="A24" s="19">
        <v>22</v>
      </c>
      <c r="B24" s="20" t="s">
        <v>246</v>
      </c>
      <c r="C24" s="21">
        <v>6</v>
      </c>
      <c r="D24" s="21">
        <v>1</v>
      </c>
      <c r="E24" s="21">
        <v>7</v>
      </c>
      <c r="F24" s="19"/>
      <c r="G24" s="19"/>
      <c r="H24" s="19">
        <v>6</v>
      </c>
      <c r="I24" s="19">
        <v>6</v>
      </c>
    </row>
    <row r="25" spans="1:9" ht="39.75" customHeight="1">
      <c r="A25" s="19">
        <v>23</v>
      </c>
      <c r="B25" s="20" t="s">
        <v>247</v>
      </c>
      <c r="C25" s="21">
        <v>5</v>
      </c>
      <c r="D25" s="21"/>
      <c r="E25" s="21">
        <v>5</v>
      </c>
      <c r="F25" s="19"/>
      <c r="G25" s="19"/>
      <c r="H25" s="13">
        <v>4</v>
      </c>
      <c r="I25" s="13">
        <v>4</v>
      </c>
    </row>
    <row r="26" spans="1:9" ht="36" customHeight="1">
      <c r="A26" s="19">
        <v>24</v>
      </c>
      <c r="B26" s="20" t="s">
        <v>248</v>
      </c>
      <c r="C26" s="21">
        <v>2</v>
      </c>
      <c r="D26" s="21"/>
      <c r="E26" s="21">
        <v>2</v>
      </c>
      <c r="F26" s="13">
        <v>1</v>
      </c>
      <c r="G26" s="13">
        <v>1</v>
      </c>
      <c r="H26" s="13"/>
      <c r="I26" s="13">
        <v>1</v>
      </c>
    </row>
    <row r="27" spans="1:9" ht="21.75" customHeight="1">
      <c r="A27" s="19">
        <v>25</v>
      </c>
      <c r="B27" s="20" t="s">
        <v>249</v>
      </c>
      <c r="C27" s="21">
        <v>1</v>
      </c>
      <c r="D27" s="21">
        <v>1</v>
      </c>
      <c r="E27" s="21">
        <v>2</v>
      </c>
      <c r="F27" s="13">
        <v>1</v>
      </c>
      <c r="G27" s="13">
        <v>1</v>
      </c>
      <c r="H27" s="19"/>
      <c r="I27" s="19">
        <v>1</v>
      </c>
    </row>
    <row r="28" spans="1:9" ht="39.75" customHeight="1">
      <c r="A28" s="19">
        <v>26</v>
      </c>
      <c r="B28" s="20" t="s">
        <v>250</v>
      </c>
      <c r="C28" s="23">
        <v>1</v>
      </c>
      <c r="D28" s="23">
        <v>3</v>
      </c>
      <c r="E28" s="23">
        <v>4</v>
      </c>
      <c r="F28" s="13">
        <v>3</v>
      </c>
      <c r="G28" s="13">
        <v>3</v>
      </c>
      <c r="H28" s="19"/>
      <c r="I28" s="13">
        <v>3</v>
      </c>
    </row>
    <row r="29" spans="1:9" ht="15" customHeight="1">
      <c r="A29" s="377" t="s">
        <v>230</v>
      </c>
      <c r="B29" s="377"/>
      <c r="C29" s="24">
        <f>SUM(C3:C28)</f>
        <v>121</v>
      </c>
      <c r="D29" s="19">
        <f t="shared" ref="D29" si="0">SUM(D3:D28)</f>
        <v>26</v>
      </c>
      <c r="E29" s="24">
        <f>SUM(E3:E28)</f>
        <v>147</v>
      </c>
      <c r="F29" s="19">
        <f t="shared" ref="F29" si="1">SUM(F3:F28)</f>
        <v>54</v>
      </c>
      <c r="G29" s="19">
        <f>SUM(G3:G28)</f>
        <v>45</v>
      </c>
      <c r="H29" s="19">
        <f>SUM(H3:H28)</f>
        <v>78</v>
      </c>
      <c r="I29" s="19">
        <f>SUM(I3:I28)</f>
        <v>123</v>
      </c>
    </row>
  </sheetData>
  <mergeCells count="2">
    <mergeCell ref="A1:H1"/>
    <mergeCell ref="A29:B29"/>
  </mergeCells>
  <conditionalFormatting sqref="B3:D19">
    <cfRule type="expression" dxfId="8" priority="2">
      <formula>MOD(ROW(),2)=0</formula>
    </cfRule>
  </conditionalFormatting>
  <conditionalFormatting sqref="B22:D28">
    <cfRule type="expression" dxfId="7" priority="1">
      <formula>MOD(ROW(),2)=0</formula>
    </cfRule>
  </conditionalFormatting>
  <pageMargins left="0.7" right="0.17" top="0.75" bottom="0.75" header="0.3" footer="0.3"/>
  <pageSetup paperSize="9" scale="8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E5084-309D-4642-9B94-2A0C02361DB9}">
  <sheetPr>
    <pageSetUpPr fitToPage="1"/>
  </sheetPr>
  <dimension ref="A1:K48"/>
  <sheetViews>
    <sheetView topLeftCell="A43" workbookViewId="0">
      <selection activeCell="B40" sqref="B40"/>
    </sheetView>
  </sheetViews>
  <sheetFormatPr defaultRowHeight="15.75"/>
  <cols>
    <col min="1" max="1" width="9.140625" style="90"/>
    <col min="2" max="2" width="37.5703125" style="90" customWidth="1"/>
    <col min="3" max="3" width="15.140625" style="90" customWidth="1"/>
    <col min="4" max="4" width="15.42578125" style="90" customWidth="1"/>
    <col min="5" max="5" width="12.85546875" style="91" customWidth="1"/>
    <col min="6" max="6" width="15.28515625" style="91" customWidth="1"/>
    <col min="7" max="7" width="11.5703125" style="92" customWidth="1"/>
    <col min="8" max="8" width="10.85546875" style="90" customWidth="1"/>
    <col min="9" max="9" width="10.42578125" style="59" customWidth="1"/>
    <col min="11" max="11" width="15.85546875" customWidth="1"/>
  </cols>
  <sheetData>
    <row r="1" spans="1:11" ht="19.5">
      <c r="A1" s="58"/>
      <c r="B1" s="382" t="s">
        <v>936</v>
      </c>
      <c r="C1" s="383"/>
      <c r="D1" s="383"/>
      <c r="E1" s="383"/>
      <c r="F1" s="383"/>
      <c r="G1" s="383"/>
      <c r="H1" s="384"/>
    </row>
    <row r="2" spans="1:11">
      <c r="A2"/>
      <c r="B2"/>
      <c r="C2"/>
      <c r="D2"/>
      <c r="E2" s="25"/>
      <c r="F2" s="25"/>
      <c r="G2" s="60"/>
      <c r="H2"/>
    </row>
    <row r="3" spans="1:11" ht="19.5" customHeight="1">
      <c r="A3" s="10" t="s">
        <v>937</v>
      </c>
      <c r="B3" s="385" t="s">
        <v>938</v>
      </c>
      <c r="C3" s="385"/>
      <c r="D3" s="385"/>
      <c r="E3" s="385"/>
      <c r="F3" s="385"/>
      <c r="G3" s="385"/>
      <c r="H3" s="385"/>
      <c r="I3" s="10"/>
      <c r="K3" s="59"/>
    </row>
    <row r="4" spans="1:11" ht="19.5">
      <c r="A4" s="10"/>
      <c r="B4" s="385" t="s">
        <v>939</v>
      </c>
      <c r="C4" s="385"/>
      <c r="D4" s="385"/>
      <c r="E4" s="385"/>
      <c r="F4" s="385"/>
      <c r="G4" s="385"/>
      <c r="H4" s="385"/>
      <c r="I4" s="10"/>
    </row>
    <row r="5" spans="1:11" ht="20.25" thickBot="1">
      <c r="A5" s="61"/>
      <c r="B5" s="385" t="s">
        <v>940</v>
      </c>
      <c r="C5" s="385"/>
      <c r="D5" s="385"/>
      <c r="E5" s="385"/>
      <c r="F5" s="385"/>
      <c r="G5" s="385"/>
      <c r="H5" s="385"/>
      <c r="I5" s="10"/>
    </row>
    <row r="6" spans="1:11" ht="24" customHeight="1">
      <c r="A6" s="388" t="s">
        <v>0</v>
      </c>
      <c r="B6" s="390" t="s">
        <v>1</v>
      </c>
      <c r="C6" s="390" t="s">
        <v>941</v>
      </c>
      <c r="D6" s="62" t="s">
        <v>228</v>
      </c>
      <c r="E6" s="390" t="s">
        <v>230</v>
      </c>
      <c r="F6" s="386" t="s">
        <v>942</v>
      </c>
      <c r="G6" s="386" t="s">
        <v>943</v>
      </c>
      <c r="H6" s="378" t="s">
        <v>944</v>
      </c>
      <c r="I6" s="380" t="s">
        <v>945</v>
      </c>
      <c r="J6" s="63"/>
    </row>
    <row r="7" spans="1:11" ht="37.5" customHeight="1">
      <c r="A7" s="389"/>
      <c r="B7" s="391"/>
      <c r="C7" s="391"/>
      <c r="D7" s="64" t="s">
        <v>946</v>
      </c>
      <c r="E7" s="391"/>
      <c r="F7" s="387"/>
      <c r="G7" s="387"/>
      <c r="H7" s="379"/>
      <c r="I7" s="381"/>
    </row>
    <row r="8" spans="1:11" ht="13.5" customHeight="1">
      <c r="A8" s="65">
        <v>1</v>
      </c>
      <c r="B8" s="66">
        <v>2</v>
      </c>
      <c r="C8" s="67">
        <v>3</v>
      </c>
      <c r="D8" s="67">
        <v>4</v>
      </c>
      <c r="E8" s="67" t="s">
        <v>947</v>
      </c>
      <c r="F8" s="68">
        <v>6</v>
      </c>
      <c r="G8" s="69">
        <v>7</v>
      </c>
      <c r="H8" s="67">
        <v>8</v>
      </c>
      <c r="I8" s="70" t="s">
        <v>948</v>
      </c>
    </row>
    <row r="9" spans="1:11" ht="19.5">
      <c r="A9" s="71">
        <v>1</v>
      </c>
      <c r="B9" s="72" t="s">
        <v>949</v>
      </c>
      <c r="C9" s="73"/>
      <c r="D9" s="74">
        <v>1</v>
      </c>
      <c r="E9" s="74">
        <f>C9+D9</f>
        <v>1</v>
      </c>
      <c r="F9" s="74"/>
      <c r="G9" s="74"/>
      <c r="H9" s="74"/>
      <c r="I9" s="75">
        <f>G9+H9</f>
        <v>0</v>
      </c>
    </row>
    <row r="10" spans="1:11" ht="19.5">
      <c r="A10" s="76">
        <v>2</v>
      </c>
      <c r="B10" s="72" t="s">
        <v>950</v>
      </c>
      <c r="C10" s="73">
        <v>2</v>
      </c>
      <c r="D10" s="73">
        <v>17</v>
      </c>
      <c r="E10" s="74">
        <f t="shared" ref="E10:E47" si="0">C10+D10</f>
        <v>19</v>
      </c>
      <c r="F10" s="73">
        <v>2</v>
      </c>
      <c r="G10" s="73">
        <v>2</v>
      </c>
      <c r="H10" s="73"/>
      <c r="I10" s="75">
        <f t="shared" ref="I10:I47" si="1">G10+H10</f>
        <v>2</v>
      </c>
    </row>
    <row r="11" spans="1:11" ht="19.5">
      <c r="A11" s="76">
        <v>3</v>
      </c>
      <c r="B11" s="72" t="s">
        <v>951</v>
      </c>
      <c r="C11" s="73"/>
      <c r="D11" s="73">
        <v>9</v>
      </c>
      <c r="E11" s="74">
        <f t="shared" si="0"/>
        <v>9</v>
      </c>
      <c r="F11" s="73"/>
      <c r="G11" s="73"/>
      <c r="H11" s="73">
        <v>4</v>
      </c>
      <c r="I11" s="75">
        <f t="shared" si="1"/>
        <v>4</v>
      </c>
    </row>
    <row r="12" spans="1:11" ht="19.5">
      <c r="A12" s="71">
        <v>4</v>
      </c>
      <c r="B12" s="72" t="s">
        <v>952</v>
      </c>
      <c r="C12" s="73">
        <v>1</v>
      </c>
      <c r="D12" s="73">
        <v>10</v>
      </c>
      <c r="E12" s="74">
        <f t="shared" si="0"/>
        <v>11</v>
      </c>
      <c r="F12" s="73">
        <v>3</v>
      </c>
      <c r="G12" s="73">
        <v>3</v>
      </c>
      <c r="H12" s="77">
        <v>4</v>
      </c>
      <c r="I12" s="75">
        <f t="shared" si="1"/>
        <v>7</v>
      </c>
    </row>
    <row r="13" spans="1:11" ht="19.5">
      <c r="A13" s="76">
        <v>5</v>
      </c>
      <c r="B13" s="72" t="s">
        <v>953</v>
      </c>
      <c r="C13" s="73">
        <v>2</v>
      </c>
      <c r="D13" s="73">
        <v>9</v>
      </c>
      <c r="E13" s="74">
        <f t="shared" si="0"/>
        <v>11</v>
      </c>
      <c r="F13" s="73"/>
      <c r="G13" s="73"/>
      <c r="H13" s="77"/>
      <c r="I13" s="75">
        <f t="shared" si="1"/>
        <v>0</v>
      </c>
    </row>
    <row r="14" spans="1:11" ht="19.5">
      <c r="A14" s="76">
        <v>6</v>
      </c>
      <c r="B14" s="72" t="s">
        <v>954</v>
      </c>
      <c r="C14" s="73"/>
      <c r="D14" s="73">
        <v>7</v>
      </c>
      <c r="E14" s="74">
        <f t="shared" si="0"/>
        <v>7</v>
      </c>
      <c r="F14" s="73">
        <v>4</v>
      </c>
      <c r="G14" s="73">
        <v>2</v>
      </c>
      <c r="H14" s="73"/>
      <c r="I14" s="75">
        <f t="shared" si="1"/>
        <v>2</v>
      </c>
    </row>
    <row r="15" spans="1:11" ht="19.5">
      <c r="A15" s="71">
        <v>7</v>
      </c>
      <c r="B15" s="72" t="s">
        <v>955</v>
      </c>
      <c r="C15" s="73"/>
      <c r="D15" s="73">
        <v>1</v>
      </c>
      <c r="E15" s="74">
        <f t="shared" si="0"/>
        <v>1</v>
      </c>
      <c r="F15" s="73"/>
      <c r="G15" s="73"/>
      <c r="H15" s="73"/>
      <c r="I15" s="75">
        <f t="shared" si="1"/>
        <v>0</v>
      </c>
    </row>
    <row r="16" spans="1:11" ht="19.5">
      <c r="A16" s="76">
        <v>8</v>
      </c>
      <c r="B16" s="72" t="s">
        <v>956</v>
      </c>
      <c r="C16" s="73">
        <v>1</v>
      </c>
      <c r="D16" s="73">
        <v>8</v>
      </c>
      <c r="E16" s="74">
        <f t="shared" si="0"/>
        <v>9</v>
      </c>
      <c r="F16" s="73"/>
      <c r="G16" s="73"/>
      <c r="H16" s="73"/>
      <c r="I16" s="75">
        <f t="shared" si="1"/>
        <v>0</v>
      </c>
    </row>
    <row r="17" spans="1:9" ht="19.5">
      <c r="A17" s="76">
        <v>9</v>
      </c>
      <c r="B17" s="72" t="s">
        <v>957</v>
      </c>
      <c r="C17" s="73">
        <v>1</v>
      </c>
      <c r="D17" s="73">
        <v>25</v>
      </c>
      <c r="E17" s="74">
        <f t="shared" si="0"/>
        <v>26</v>
      </c>
      <c r="F17" s="73">
        <v>5</v>
      </c>
      <c r="G17" s="73">
        <v>1</v>
      </c>
      <c r="H17" s="73">
        <v>12</v>
      </c>
      <c r="I17" s="75">
        <f t="shared" si="1"/>
        <v>13</v>
      </c>
    </row>
    <row r="18" spans="1:9" ht="19.5">
      <c r="A18" s="71">
        <v>10</v>
      </c>
      <c r="B18" s="72" t="s">
        <v>958</v>
      </c>
      <c r="C18" s="73">
        <v>2</v>
      </c>
      <c r="D18" s="73">
        <v>4</v>
      </c>
      <c r="E18" s="74">
        <f t="shared" si="0"/>
        <v>6</v>
      </c>
      <c r="F18" s="73"/>
      <c r="G18" s="73"/>
      <c r="H18" s="73">
        <v>3</v>
      </c>
      <c r="I18" s="75">
        <f t="shared" si="1"/>
        <v>3</v>
      </c>
    </row>
    <row r="19" spans="1:9" ht="19.5">
      <c r="A19" s="76">
        <v>11</v>
      </c>
      <c r="B19" s="72" t="s">
        <v>959</v>
      </c>
      <c r="C19" s="73">
        <v>3</v>
      </c>
      <c r="D19" s="73">
        <v>21</v>
      </c>
      <c r="E19" s="74">
        <f t="shared" si="0"/>
        <v>24</v>
      </c>
      <c r="F19" s="73"/>
      <c r="G19" s="73"/>
      <c r="H19" s="77">
        <v>4</v>
      </c>
      <c r="I19" s="75">
        <f t="shared" si="1"/>
        <v>4</v>
      </c>
    </row>
    <row r="20" spans="1:9" ht="19.5">
      <c r="A20" s="76">
        <v>12</v>
      </c>
      <c r="B20" s="72" t="s">
        <v>960</v>
      </c>
      <c r="C20" s="73">
        <v>1</v>
      </c>
      <c r="D20" s="73">
        <v>6</v>
      </c>
      <c r="E20" s="74">
        <f t="shared" si="0"/>
        <v>7</v>
      </c>
      <c r="F20" s="73"/>
      <c r="G20" s="73"/>
      <c r="H20" s="73">
        <v>4</v>
      </c>
      <c r="I20" s="75">
        <f t="shared" si="1"/>
        <v>4</v>
      </c>
    </row>
    <row r="21" spans="1:9" ht="19.5">
      <c r="A21" s="71">
        <v>13</v>
      </c>
      <c r="B21" s="72" t="s">
        <v>961</v>
      </c>
      <c r="C21" s="73"/>
      <c r="D21" s="73">
        <v>4</v>
      </c>
      <c r="E21" s="74">
        <f t="shared" si="0"/>
        <v>4</v>
      </c>
      <c r="F21" s="73">
        <v>3</v>
      </c>
      <c r="G21" s="73">
        <v>2</v>
      </c>
      <c r="H21" s="73"/>
      <c r="I21" s="75">
        <f t="shared" si="1"/>
        <v>2</v>
      </c>
    </row>
    <row r="22" spans="1:9" ht="19.5">
      <c r="A22" s="76">
        <v>14</v>
      </c>
      <c r="B22" s="72" t="s">
        <v>962</v>
      </c>
      <c r="C22" s="73"/>
      <c r="D22" s="73">
        <v>9</v>
      </c>
      <c r="E22" s="74">
        <f t="shared" si="0"/>
        <v>9</v>
      </c>
      <c r="F22" s="73">
        <v>2</v>
      </c>
      <c r="G22" s="73">
        <v>2</v>
      </c>
      <c r="H22" s="73"/>
      <c r="I22" s="75">
        <f t="shared" si="1"/>
        <v>2</v>
      </c>
    </row>
    <row r="23" spans="1:9" ht="19.5">
      <c r="A23" s="71">
        <v>16</v>
      </c>
      <c r="B23" s="72" t="s">
        <v>963</v>
      </c>
      <c r="C23" s="73">
        <v>1</v>
      </c>
      <c r="D23" s="73">
        <v>10</v>
      </c>
      <c r="E23" s="74">
        <f t="shared" si="0"/>
        <v>11</v>
      </c>
      <c r="F23" s="73">
        <v>5</v>
      </c>
      <c r="G23" s="73">
        <v>3</v>
      </c>
      <c r="H23" s="73"/>
      <c r="I23" s="75">
        <f t="shared" si="1"/>
        <v>3</v>
      </c>
    </row>
    <row r="24" spans="1:9" ht="19.5">
      <c r="A24" s="76">
        <v>17</v>
      </c>
      <c r="B24" s="72" t="s">
        <v>964</v>
      </c>
      <c r="C24" s="74"/>
      <c r="D24" s="74">
        <v>1</v>
      </c>
      <c r="E24" s="74">
        <f t="shared" si="0"/>
        <v>1</v>
      </c>
      <c r="F24" s="74"/>
      <c r="G24" s="74"/>
      <c r="H24" s="73">
        <v>1</v>
      </c>
      <c r="I24" s="75">
        <f t="shared" si="1"/>
        <v>1</v>
      </c>
    </row>
    <row r="25" spans="1:9" ht="19.5">
      <c r="A25" s="76">
        <v>18</v>
      </c>
      <c r="B25" s="72" t="s">
        <v>965</v>
      </c>
      <c r="C25" s="73">
        <v>1</v>
      </c>
      <c r="D25" s="73">
        <v>10</v>
      </c>
      <c r="E25" s="74">
        <f t="shared" si="0"/>
        <v>11</v>
      </c>
      <c r="F25" s="73"/>
      <c r="G25" s="73"/>
      <c r="H25" s="77"/>
      <c r="I25" s="75">
        <f t="shared" si="1"/>
        <v>0</v>
      </c>
    </row>
    <row r="26" spans="1:9" ht="19.5">
      <c r="A26" s="71">
        <v>19</v>
      </c>
      <c r="B26" s="72" t="s">
        <v>966</v>
      </c>
      <c r="C26" s="73"/>
      <c r="D26" s="73">
        <v>1</v>
      </c>
      <c r="E26" s="74">
        <f t="shared" si="0"/>
        <v>1</v>
      </c>
      <c r="F26" s="73"/>
      <c r="G26" s="73"/>
      <c r="H26" s="73"/>
      <c r="I26" s="75">
        <f t="shared" si="1"/>
        <v>0</v>
      </c>
    </row>
    <row r="27" spans="1:9" ht="19.5">
      <c r="A27" s="76">
        <v>20</v>
      </c>
      <c r="B27" s="72" t="s">
        <v>967</v>
      </c>
      <c r="C27" s="73">
        <v>5</v>
      </c>
      <c r="D27" s="73">
        <v>16</v>
      </c>
      <c r="E27" s="74">
        <f t="shared" si="0"/>
        <v>21</v>
      </c>
      <c r="F27" s="73">
        <v>4</v>
      </c>
      <c r="G27" s="73">
        <v>2</v>
      </c>
      <c r="H27" s="77"/>
      <c r="I27" s="75">
        <f t="shared" si="1"/>
        <v>2</v>
      </c>
    </row>
    <row r="28" spans="1:9" ht="19.5">
      <c r="A28" s="76">
        <v>21</v>
      </c>
      <c r="B28" s="72" t="s">
        <v>968</v>
      </c>
      <c r="C28" s="73"/>
      <c r="D28" s="73">
        <v>1</v>
      </c>
      <c r="E28" s="74">
        <f t="shared" si="0"/>
        <v>1</v>
      </c>
      <c r="F28" s="73"/>
      <c r="G28" s="73"/>
      <c r="H28" s="73"/>
      <c r="I28" s="75">
        <f t="shared" si="1"/>
        <v>0</v>
      </c>
    </row>
    <row r="29" spans="1:9" ht="19.5">
      <c r="A29" s="71">
        <v>22</v>
      </c>
      <c r="B29" s="72" t="s">
        <v>969</v>
      </c>
      <c r="C29" s="73"/>
      <c r="D29" s="73">
        <v>2</v>
      </c>
      <c r="E29" s="74">
        <f t="shared" si="0"/>
        <v>2</v>
      </c>
      <c r="F29" s="73"/>
      <c r="G29" s="73"/>
      <c r="H29" s="73"/>
      <c r="I29" s="75">
        <f t="shared" si="1"/>
        <v>0</v>
      </c>
    </row>
    <row r="30" spans="1:9" ht="19.5">
      <c r="A30" s="76">
        <v>23</v>
      </c>
      <c r="B30" s="72" t="s">
        <v>970</v>
      </c>
      <c r="C30" s="73"/>
      <c r="D30" s="73">
        <v>1</v>
      </c>
      <c r="E30" s="74">
        <f t="shared" si="0"/>
        <v>1</v>
      </c>
      <c r="F30" s="73"/>
      <c r="G30" s="73"/>
      <c r="H30" s="73"/>
      <c r="I30" s="75">
        <f t="shared" si="1"/>
        <v>0</v>
      </c>
    </row>
    <row r="31" spans="1:9" ht="19.5">
      <c r="A31" s="76">
        <v>24</v>
      </c>
      <c r="B31" s="72" t="s">
        <v>971</v>
      </c>
      <c r="C31" s="73"/>
      <c r="D31" s="73">
        <v>2</v>
      </c>
      <c r="E31" s="74">
        <f t="shared" si="0"/>
        <v>2</v>
      </c>
      <c r="F31" s="73"/>
      <c r="G31" s="73"/>
      <c r="H31" s="73"/>
      <c r="I31" s="75">
        <f t="shared" si="1"/>
        <v>0</v>
      </c>
    </row>
    <row r="32" spans="1:9" ht="19.5">
      <c r="A32" s="71">
        <v>25</v>
      </c>
      <c r="B32" s="72" t="s">
        <v>972</v>
      </c>
      <c r="C32" s="73">
        <v>1</v>
      </c>
      <c r="D32" s="73">
        <v>14</v>
      </c>
      <c r="E32" s="74">
        <f t="shared" si="0"/>
        <v>15</v>
      </c>
      <c r="F32" s="73">
        <v>4</v>
      </c>
      <c r="G32" s="73">
        <v>3</v>
      </c>
      <c r="H32" s="77"/>
      <c r="I32" s="75">
        <f t="shared" si="1"/>
        <v>3</v>
      </c>
    </row>
    <row r="33" spans="1:9" ht="19.5">
      <c r="A33" s="76">
        <v>26</v>
      </c>
      <c r="B33" s="72" t="s">
        <v>973</v>
      </c>
      <c r="C33" s="73">
        <v>1</v>
      </c>
      <c r="D33" s="73">
        <v>4</v>
      </c>
      <c r="E33" s="74">
        <f t="shared" si="0"/>
        <v>5</v>
      </c>
      <c r="F33" s="73"/>
      <c r="G33" s="73"/>
      <c r="H33" s="77"/>
      <c r="I33" s="75">
        <f t="shared" si="1"/>
        <v>0</v>
      </c>
    </row>
    <row r="34" spans="1:9" ht="19.5">
      <c r="A34" s="76">
        <v>27</v>
      </c>
      <c r="B34" s="72" t="s">
        <v>974</v>
      </c>
      <c r="C34" s="73"/>
      <c r="D34" s="73">
        <v>1</v>
      </c>
      <c r="E34" s="74">
        <f t="shared" si="0"/>
        <v>1</v>
      </c>
      <c r="F34" s="73"/>
      <c r="G34" s="73"/>
      <c r="H34" s="73"/>
      <c r="I34" s="75">
        <f t="shared" si="1"/>
        <v>0</v>
      </c>
    </row>
    <row r="35" spans="1:9" ht="19.5">
      <c r="A35" s="71">
        <v>28</v>
      </c>
      <c r="B35" s="78" t="s">
        <v>975</v>
      </c>
      <c r="C35" s="73">
        <v>2</v>
      </c>
      <c r="D35" s="73">
        <v>5</v>
      </c>
      <c r="E35" s="74">
        <f t="shared" si="0"/>
        <v>7</v>
      </c>
      <c r="F35" s="73"/>
      <c r="G35" s="73"/>
      <c r="H35" s="77"/>
      <c r="I35" s="75">
        <f t="shared" si="1"/>
        <v>0</v>
      </c>
    </row>
    <row r="36" spans="1:9" ht="19.5">
      <c r="A36" s="76">
        <v>29</v>
      </c>
      <c r="B36" s="78" t="s">
        <v>976</v>
      </c>
      <c r="C36" s="73"/>
      <c r="D36" s="73">
        <v>1</v>
      </c>
      <c r="E36" s="74">
        <f t="shared" si="0"/>
        <v>1</v>
      </c>
      <c r="F36" s="73"/>
      <c r="G36" s="73"/>
      <c r="H36" s="73"/>
      <c r="I36" s="75">
        <f t="shared" si="1"/>
        <v>0</v>
      </c>
    </row>
    <row r="37" spans="1:9" ht="19.5">
      <c r="A37" s="76">
        <v>30</v>
      </c>
      <c r="B37" s="78" t="s">
        <v>977</v>
      </c>
      <c r="C37" s="73"/>
      <c r="D37" s="73">
        <v>3</v>
      </c>
      <c r="E37" s="74">
        <f t="shared" si="0"/>
        <v>3</v>
      </c>
      <c r="F37" s="73"/>
      <c r="G37" s="73"/>
      <c r="H37" s="73"/>
      <c r="I37" s="75">
        <f t="shared" si="1"/>
        <v>0</v>
      </c>
    </row>
    <row r="38" spans="1:9" ht="19.5">
      <c r="A38" s="71">
        <v>31</v>
      </c>
      <c r="B38" s="78" t="s">
        <v>978</v>
      </c>
      <c r="C38" s="73">
        <v>5</v>
      </c>
      <c r="D38" s="73">
        <v>13</v>
      </c>
      <c r="E38" s="74">
        <f t="shared" si="0"/>
        <v>18</v>
      </c>
      <c r="F38" s="73">
        <v>3</v>
      </c>
      <c r="G38" s="73">
        <v>1</v>
      </c>
      <c r="H38" s="77">
        <v>4</v>
      </c>
      <c r="I38" s="75">
        <f t="shared" si="1"/>
        <v>5</v>
      </c>
    </row>
    <row r="39" spans="1:9" ht="19.5">
      <c r="A39" s="76">
        <v>32</v>
      </c>
      <c r="B39" s="78" t="s">
        <v>979</v>
      </c>
      <c r="C39" s="73">
        <v>2</v>
      </c>
      <c r="D39" s="73">
        <v>17</v>
      </c>
      <c r="E39" s="74">
        <f t="shared" si="0"/>
        <v>19</v>
      </c>
      <c r="F39" s="73">
        <v>3</v>
      </c>
      <c r="G39" s="73">
        <v>1</v>
      </c>
      <c r="H39" s="77">
        <v>5</v>
      </c>
      <c r="I39" s="75">
        <f t="shared" si="1"/>
        <v>6</v>
      </c>
    </row>
    <row r="40" spans="1:9" ht="31.5">
      <c r="A40" s="76">
        <v>33</v>
      </c>
      <c r="B40" s="79" t="s">
        <v>980</v>
      </c>
      <c r="C40" s="73">
        <v>2</v>
      </c>
      <c r="D40" s="73">
        <v>4</v>
      </c>
      <c r="E40" s="74">
        <f t="shared" si="0"/>
        <v>6</v>
      </c>
      <c r="F40" s="73"/>
      <c r="G40" s="73"/>
      <c r="H40" s="73"/>
      <c r="I40" s="75">
        <f t="shared" si="1"/>
        <v>0</v>
      </c>
    </row>
    <row r="41" spans="1:9" ht="31.5">
      <c r="A41" s="71">
        <v>34</v>
      </c>
      <c r="B41" s="79" t="s">
        <v>981</v>
      </c>
      <c r="C41" s="73"/>
      <c r="D41" s="73">
        <v>26</v>
      </c>
      <c r="E41" s="74">
        <f t="shared" si="0"/>
        <v>26</v>
      </c>
      <c r="F41" s="73">
        <v>7</v>
      </c>
      <c r="G41" s="73">
        <v>4</v>
      </c>
      <c r="H41" s="73">
        <v>8</v>
      </c>
      <c r="I41" s="75">
        <f t="shared" si="1"/>
        <v>12</v>
      </c>
    </row>
    <row r="42" spans="1:9" ht="19.5">
      <c r="A42" s="76">
        <v>35</v>
      </c>
      <c r="B42" s="78" t="s">
        <v>982</v>
      </c>
      <c r="C42" s="73"/>
      <c r="D42" s="73">
        <v>7</v>
      </c>
      <c r="E42" s="74">
        <f t="shared" si="0"/>
        <v>7</v>
      </c>
      <c r="F42" s="73"/>
      <c r="G42" s="73"/>
      <c r="H42" s="73"/>
      <c r="I42" s="75">
        <f t="shared" si="1"/>
        <v>0</v>
      </c>
    </row>
    <row r="43" spans="1:9" ht="19.5">
      <c r="A43" s="76">
        <v>36</v>
      </c>
      <c r="B43" s="78" t="s">
        <v>983</v>
      </c>
      <c r="C43" s="80">
        <v>1</v>
      </c>
      <c r="D43" s="80">
        <v>5</v>
      </c>
      <c r="E43" s="74">
        <f t="shared" si="0"/>
        <v>6</v>
      </c>
      <c r="F43" s="80"/>
      <c r="G43" s="80"/>
      <c r="H43" s="80"/>
      <c r="I43" s="75">
        <f t="shared" si="1"/>
        <v>0</v>
      </c>
    </row>
    <row r="44" spans="1:9" ht="19.5">
      <c r="A44" s="76">
        <v>37</v>
      </c>
      <c r="B44" s="78" t="s">
        <v>984</v>
      </c>
      <c r="C44" s="73">
        <v>1</v>
      </c>
      <c r="D44" s="73">
        <v>5</v>
      </c>
      <c r="E44" s="74">
        <f t="shared" si="0"/>
        <v>6</v>
      </c>
      <c r="F44" s="73"/>
      <c r="G44" s="73"/>
      <c r="H44" s="73"/>
      <c r="I44" s="75">
        <f t="shared" si="1"/>
        <v>0</v>
      </c>
    </row>
    <row r="45" spans="1:9" ht="19.5">
      <c r="A45" s="76">
        <v>38</v>
      </c>
      <c r="B45" s="78" t="s">
        <v>985</v>
      </c>
      <c r="C45" s="73"/>
      <c r="D45" s="73">
        <v>1</v>
      </c>
      <c r="E45" s="74">
        <f t="shared" si="0"/>
        <v>1</v>
      </c>
      <c r="F45" s="73"/>
      <c r="G45" s="73"/>
      <c r="H45" s="73"/>
      <c r="I45" s="75">
        <f t="shared" si="1"/>
        <v>0</v>
      </c>
    </row>
    <row r="46" spans="1:9" ht="19.5">
      <c r="A46" s="76">
        <v>39</v>
      </c>
      <c r="B46" s="78" t="s">
        <v>986</v>
      </c>
      <c r="C46" s="73">
        <v>1</v>
      </c>
      <c r="D46" s="73">
        <v>5</v>
      </c>
      <c r="E46" s="74">
        <f t="shared" si="0"/>
        <v>6</v>
      </c>
      <c r="F46" s="73"/>
      <c r="G46" s="73"/>
      <c r="H46" s="81">
        <v>6</v>
      </c>
      <c r="I46" s="75">
        <f t="shared" si="1"/>
        <v>6</v>
      </c>
    </row>
    <row r="47" spans="1:9" ht="20.25" thickBot="1">
      <c r="A47" s="82"/>
      <c r="B47" s="83" t="s">
        <v>230</v>
      </c>
      <c r="C47" s="84">
        <f>SUM(C9:C46)</f>
        <v>36</v>
      </c>
      <c r="D47" s="84">
        <f>SUM(D9:D46)</f>
        <v>286</v>
      </c>
      <c r="E47" s="85">
        <f t="shared" si="0"/>
        <v>322</v>
      </c>
      <c r="F47" s="84">
        <v>45</v>
      </c>
      <c r="G47" s="84">
        <v>26</v>
      </c>
      <c r="H47" s="84">
        <f>SUM(H11:H46)</f>
        <v>55</v>
      </c>
      <c r="I47" s="86">
        <f t="shared" si="1"/>
        <v>81</v>
      </c>
    </row>
    <row r="48" spans="1:9">
      <c r="A48" s="87"/>
      <c r="B48" s="87"/>
      <c r="C48" s="87"/>
      <c r="D48" s="87"/>
      <c r="E48" s="88"/>
      <c r="F48" s="88"/>
      <c r="G48" s="89"/>
      <c r="H48" s="87"/>
      <c r="I48" s="10"/>
    </row>
  </sheetData>
  <mergeCells count="12">
    <mergeCell ref="A6:A7"/>
    <mergeCell ref="B6:B7"/>
    <mergeCell ref="C6:C7"/>
    <mergeCell ref="E6:E7"/>
    <mergeCell ref="F6:F7"/>
    <mergeCell ref="H6:H7"/>
    <mergeCell ref="I6:I7"/>
    <mergeCell ref="B1:H1"/>
    <mergeCell ref="B3:H3"/>
    <mergeCell ref="B4:H4"/>
    <mergeCell ref="B5:H5"/>
    <mergeCell ref="G6:G7"/>
  </mergeCells>
  <pageMargins left="0.7" right="0.7" top="0.75" bottom="0.75" header="0.3" footer="0.3"/>
  <pageSetup scale="7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30442-345D-4DDA-BDAB-5EAE29E9BEF4}">
  <dimension ref="A1:I20"/>
  <sheetViews>
    <sheetView view="pageBreakPreview" topLeftCell="A10" zoomScaleNormal="100" zoomScaleSheetLayoutView="100" workbookViewId="0">
      <selection activeCell="L25" sqref="L25"/>
    </sheetView>
  </sheetViews>
  <sheetFormatPr defaultRowHeight="15"/>
  <cols>
    <col min="1" max="1" width="9.140625" style="97"/>
    <col min="2" max="2" width="21" style="97" customWidth="1"/>
    <col min="3" max="257" width="9.140625" style="97"/>
    <col min="258" max="258" width="21" style="97" customWidth="1"/>
    <col min="259" max="513" width="9.140625" style="97"/>
    <col min="514" max="514" width="21" style="97" customWidth="1"/>
    <col min="515" max="769" width="9.140625" style="97"/>
    <col min="770" max="770" width="21" style="97" customWidth="1"/>
    <col min="771" max="1025" width="9.140625" style="97"/>
    <col min="1026" max="1026" width="21" style="97" customWidth="1"/>
    <col min="1027" max="1281" width="9.140625" style="97"/>
    <col min="1282" max="1282" width="21" style="97" customWidth="1"/>
    <col min="1283" max="1537" width="9.140625" style="97"/>
    <col min="1538" max="1538" width="21" style="97" customWidth="1"/>
    <col min="1539" max="1793" width="9.140625" style="97"/>
    <col min="1794" max="1794" width="21" style="97" customWidth="1"/>
    <col min="1795" max="2049" width="9.140625" style="97"/>
    <col min="2050" max="2050" width="21" style="97" customWidth="1"/>
    <col min="2051" max="2305" width="9.140625" style="97"/>
    <col min="2306" max="2306" width="21" style="97" customWidth="1"/>
    <col min="2307" max="2561" width="9.140625" style="97"/>
    <col min="2562" max="2562" width="21" style="97" customWidth="1"/>
    <col min="2563" max="2817" width="9.140625" style="97"/>
    <col min="2818" max="2818" width="21" style="97" customWidth="1"/>
    <col min="2819" max="3073" width="9.140625" style="97"/>
    <col min="3074" max="3074" width="21" style="97" customWidth="1"/>
    <col min="3075" max="3329" width="9.140625" style="97"/>
    <col min="3330" max="3330" width="21" style="97" customWidth="1"/>
    <col min="3331" max="3585" width="9.140625" style="97"/>
    <col min="3586" max="3586" width="21" style="97" customWidth="1"/>
    <col min="3587" max="3841" width="9.140625" style="97"/>
    <col min="3842" max="3842" width="21" style="97" customWidth="1"/>
    <col min="3843" max="4097" width="9.140625" style="97"/>
    <col min="4098" max="4098" width="21" style="97" customWidth="1"/>
    <col min="4099" max="4353" width="9.140625" style="97"/>
    <col min="4354" max="4354" width="21" style="97" customWidth="1"/>
    <col min="4355" max="4609" width="9.140625" style="97"/>
    <col min="4610" max="4610" width="21" style="97" customWidth="1"/>
    <col min="4611" max="4865" width="9.140625" style="97"/>
    <col min="4866" max="4866" width="21" style="97" customWidth="1"/>
    <col min="4867" max="5121" width="9.140625" style="97"/>
    <col min="5122" max="5122" width="21" style="97" customWidth="1"/>
    <col min="5123" max="5377" width="9.140625" style="97"/>
    <col min="5378" max="5378" width="21" style="97" customWidth="1"/>
    <col min="5379" max="5633" width="9.140625" style="97"/>
    <col min="5634" max="5634" width="21" style="97" customWidth="1"/>
    <col min="5635" max="5889" width="9.140625" style="97"/>
    <col min="5890" max="5890" width="21" style="97" customWidth="1"/>
    <col min="5891" max="6145" width="9.140625" style="97"/>
    <col min="6146" max="6146" width="21" style="97" customWidth="1"/>
    <col min="6147" max="6401" width="9.140625" style="97"/>
    <col min="6402" max="6402" width="21" style="97" customWidth="1"/>
    <col min="6403" max="6657" width="9.140625" style="97"/>
    <col min="6658" max="6658" width="21" style="97" customWidth="1"/>
    <col min="6659" max="6913" width="9.140625" style="97"/>
    <col min="6914" max="6914" width="21" style="97" customWidth="1"/>
    <col min="6915" max="7169" width="9.140625" style="97"/>
    <col min="7170" max="7170" width="21" style="97" customWidth="1"/>
    <col min="7171" max="7425" width="9.140625" style="97"/>
    <col min="7426" max="7426" width="21" style="97" customWidth="1"/>
    <col min="7427" max="7681" width="9.140625" style="97"/>
    <col min="7682" max="7682" width="21" style="97" customWidth="1"/>
    <col min="7683" max="7937" width="9.140625" style="97"/>
    <col min="7938" max="7938" width="21" style="97" customWidth="1"/>
    <col min="7939" max="8193" width="9.140625" style="97"/>
    <col min="8194" max="8194" width="21" style="97" customWidth="1"/>
    <col min="8195" max="8449" width="9.140625" style="97"/>
    <col min="8450" max="8450" width="21" style="97" customWidth="1"/>
    <col min="8451" max="8705" width="9.140625" style="97"/>
    <col min="8706" max="8706" width="21" style="97" customWidth="1"/>
    <col min="8707" max="8961" width="9.140625" style="97"/>
    <col min="8962" max="8962" width="21" style="97" customWidth="1"/>
    <col min="8963" max="9217" width="9.140625" style="97"/>
    <col min="9218" max="9218" width="21" style="97" customWidth="1"/>
    <col min="9219" max="9473" width="9.140625" style="97"/>
    <col min="9474" max="9474" width="21" style="97" customWidth="1"/>
    <col min="9475" max="9729" width="9.140625" style="97"/>
    <col min="9730" max="9730" width="21" style="97" customWidth="1"/>
    <col min="9731" max="9985" width="9.140625" style="97"/>
    <col min="9986" max="9986" width="21" style="97" customWidth="1"/>
    <col min="9987" max="10241" width="9.140625" style="97"/>
    <col min="10242" max="10242" width="21" style="97" customWidth="1"/>
    <col min="10243" max="10497" width="9.140625" style="97"/>
    <col min="10498" max="10498" width="21" style="97" customWidth="1"/>
    <col min="10499" max="10753" width="9.140625" style="97"/>
    <col min="10754" max="10754" width="21" style="97" customWidth="1"/>
    <col min="10755" max="11009" width="9.140625" style="97"/>
    <col min="11010" max="11010" width="21" style="97" customWidth="1"/>
    <col min="11011" max="11265" width="9.140625" style="97"/>
    <col min="11266" max="11266" width="21" style="97" customWidth="1"/>
    <col min="11267" max="11521" width="9.140625" style="97"/>
    <col min="11522" max="11522" width="21" style="97" customWidth="1"/>
    <col min="11523" max="11777" width="9.140625" style="97"/>
    <col min="11778" max="11778" width="21" style="97" customWidth="1"/>
    <col min="11779" max="12033" width="9.140625" style="97"/>
    <col min="12034" max="12034" width="21" style="97" customWidth="1"/>
    <col min="12035" max="12289" width="9.140625" style="97"/>
    <col min="12290" max="12290" width="21" style="97" customWidth="1"/>
    <col min="12291" max="12545" width="9.140625" style="97"/>
    <col min="12546" max="12546" width="21" style="97" customWidth="1"/>
    <col min="12547" max="12801" width="9.140625" style="97"/>
    <col min="12802" max="12802" width="21" style="97" customWidth="1"/>
    <col min="12803" max="13057" width="9.140625" style="97"/>
    <col min="13058" max="13058" width="21" style="97" customWidth="1"/>
    <col min="13059" max="13313" width="9.140625" style="97"/>
    <col min="13314" max="13314" width="21" style="97" customWidth="1"/>
    <col min="13315" max="13569" width="9.140625" style="97"/>
    <col min="13570" max="13570" width="21" style="97" customWidth="1"/>
    <col min="13571" max="13825" width="9.140625" style="97"/>
    <col min="13826" max="13826" width="21" style="97" customWidth="1"/>
    <col min="13827" max="14081" width="9.140625" style="97"/>
    <col min="14082" max="14082" width="21" style="97" customWidth="1"/>
    <col min="14083" max="14337" width="9.140625" style="97"/>
    <col min="14338" max="14338" width="21" style="97" customWidth="1"/>
    <col min="14339" max="14593" width="9.140625" style="97"/>
    <col min="14594" max="14594" width="21" style="97" customWidth="1"/>
    <col min="14595" max="14849" width="9.140625" style="97"/>
    <col min="14850" max="14850" width="21" style="97" customWidth="1"/>
    <col min="14851" max="15105" width="9.140625" style="97"/>
    <col min="15106" max="15106" width="21" style="97" customWidth="1"/>
    <col min="15107" max="15361" width="9.140625" style="97"/>
    <col min="15362" max="15362" width="21" style="97" customWidth="1"/>
    <col min="15363" max="15617" width="9.140625" style="97"/>
    <col min="15618" max="15618" width="21" style="97" customWidth="1"/>
    <col min="15619" max="15873" width="9.140625" style="97"/>
    <col min="15874" max="15874" width="21" style="97" customWidth="1"/>
    <col min="15875" max="16129" width="9.140625" style="97"/>
    <col min="16130" max="16130" width="21" style="97" customWidth="1"/>
    <col min="16131" max="16384" width="9.140625" style="97"/>
  </cols>
  <sheetData>
    <row r="1" spans="1:9" ht="27.75">
      <c r="A1" s="392" t="s">
        <v>938</v>
      </c>
      <c r="B1" s="392"/>
      <c r="C1" s="392"/>
      <c r="D1" s="392"/>
      <c r="E1" s="392"/>
      <c r="F1" s="392"/>
      <c r="G1" s="392"/>
      <c r="H1" s="392"/>
      <c r="I1" s="392"/>
    </row>
    <row r="2" spans="1:9" ht="27.75">
      <c r="A2" s="392" t="s">
        <v>1079</v>
      </c>
      <c r="B2" s="392"/>
      <c r="C2" s="392"/>
      <c r="D2" s="392"/>
      <c r="E2" s="392"/>
      <c r="F2" s="392"/>
      <c r="G2" s="392"/>
      <c r="H2" s="392"/>
      <c r="I2" s="392"/>
    </row>
    <row r="3" spans="1:9" ht="21.75">
      <c r="A3" s="393" t="s">
        <v>1080</v>
      </c>
      <c r="B3" s="393"/>
      <c r="C3" s="393"/>
      <c r="D3" s="393"/>
      <c r="E3" s="393"/>
      <c r="F3" s="393"/>
      <c r="G3" s="393"/>
      <c r="H3" s="393"/>
      <c r="I3" s="393"/>
    </row>
    <row r="4" spans="1:9" ht="45">
      <c r="A4" s="98" t="s">
        <v>1081</v>
      </c>
      <c r="B4" s="98" t="s">
        <v>1</v>
      </c>
      <c r="C4" s="99" t="s">
        <v>1082</v>
      </c>
      <c r="D4" s="99" t="s">
        <v>1083</v>
      </c>
      <c r="E4" s="99" t="s">
        <v>1084</v>
      </c>
      <c r="F4" s="98" t="s">
        <v>1085</v>
      </c>
      <c r="G4" s="98" t="s">
        <v>1086</v>
      </c>
      <c r="H4" s="98" t="s">
        <v>1087</v>
      </c>
      <c r="I4" s="98" t="s">
        <v>234</v>
      </c>
    </row>
    <row r="5" spans="1:9" ht="15.75">
      <c r="A5" s="100">
        <v>1</v>
      </c>
      <c r="B5" s="101">
        <v>2</v>
      </c>
      <c r="C5" s="101">
        <v>3</v>
      </c>
      <c r="D5" s="101">
        <v>4</v>
      </c>
      <c r="E5" s="100">
        <v>5</v>
      </c>
      <c r="F5" s="102">
        <v>6</v>
      </c>
      <c r="G5" s="103">
        <v>7</v>
      </c>
      <c r="H5" s="103">
        <v>8</v>
      </c>
      <c r="I5" s="103" t="s">
        <v>235</v>
      </c>
    </row>
    <row r="6" spans="1:9" ht="33.75" customHeight="1">
      <c r="A6" s="104">
        <v>1</v>
      </c>
      <c r="B6" s="105" t="s">
        <v>1088</v>
      </c>
      <c r="C6" s="106">
        <v>1</v>
      </c>
      <c r="D6" s="106">
        <v>17</v>
      </c>
      <c r="E6" s="107">
        <f>C6+D6</f>
        <v>18</v>
      </c>
      <c r="F6" s="108">
        <v>4</v>
      </c>
      <c r="G6" s="108">
        <v>3</v>
      </c>
      <c r="H6" s="108">
        <v>3</v>
      </c>
      <c r="I6" s="108">
        <f>G6+H6</f>
        <v>6</v>
      </c>
    </row>
    <row r="7" spans="1:9" ht="36" customHeight="1">
      <c r="A7" s="104">
        <v>2</v>
      </c>
      <c r="B7" s="105" t="s">
        <v>1089</v>
      </c>
      <c r="C7" s="106">
        <v>1</v>
      </c>
      <c r="D7" s="106">
        <v>24</v>
      </c>
      <c r="E7" s="107">
        <f t="shared" ref="E7:E20" si="0">C7+D7</f>
        <v>25</v>
      </c>
      <c r="F7" s="108"/>
      <c r="G7" s="108"/>
      <c r="H7" s="108">
        <v>3</v>
      </c>
      <c r="I7" s="108">
        <f t="shared" ref="I7:I20" si="1">G7+H7</f>
        <v>3</v>
      </c>
    </row>
    <row r="8" spans="1:9" ht="27">
      <c r="A8" s="104">
        <v>3</v>
      </c>
      <c r="B8" s="105" t="s">
        <v>1090</v>
      </c>
      <c r="C8" s="106"/>
      <c r="D8" s="106">
        <v>12</v>
      </c>
      <c r="E8" s="107">
        <f t="shared" si="0"/>
        <v>12</v>
      </c>
      <c r="F8" s="108"/>
      <c r="G8" s="108"/>
      <c r="H8" s="108">
        <v>2</v>
      </c>
      <c r="I8" s="108">
        <f t="shared" si="1"/>
        <v>2</v>
      </c>
    </row>
    <row r="9" spans="1:9" ht="19.5">
      <c r="A9" s="104">
        <v>4</v>
      </c>
      <c r="B9" s="105" t="s">
        <v>1091</v>
      </c>
      <c r="C9" s="106"/>
      <c r="D9" s="106">
        <v>1</v>
      </c>
      <c r="E9" s="107">
        <v>1</v>
      </c>
      <c r="F9" s="108"/>
      <c r="G9" s="108"/>
      <c r="H9" s="108"/>
      <c r="I9" s="108"/>
    </row>
    <row r="10" spans="1:9" ht="19.5">
      <c r="A10" s="104">
        <v>5</v>
      </c>
      <c r="B10" s="105" t="s">
        <v>1092</v>
      </c>
      <c r="C10" s="106"/>
      <c r="D10" s="106">
        <v>2</v>
      </c>
      <c r="E10" s="107">
        <f t="shared" si="0"/>
        <v>2</v>
      </c>
      <c r="F10" s="108"/>
      <c r="G10" s="108"/>
      <c r="H10" s="108"/>
      <c r="I10" s="108">
        <f t="shared" si="1"/>
        <v>0</v>
      </c>
    </row>
    <row r="11" spans="1:9" ht="27">
      <c r="A11" s="104">
        <v>6</v>
      </c>
      <c r="B11" s="105" t="s">
        <v>1093</v>
      </c>
      <c r="C11" s="106">
        <v>1</v>
      </c>
      <c r="D11" s="106">
        <v>14</v>
      </c>
      <c r="E11" s="107">
        <f t="shared" si="0"/>
        <v>15</v>
      </c>
      <c r="F11" s="108">
        <v>3</v>
      </c>
      <c r="G11" s="108">
        <v>1</v>
      </c>
      <c r="H11" s="108"/>
      <c r="I11" s="108">
        <f t="shared" si="1"/>
        <v>1</v>
      </c>
    </row>
    <row r="12" spans="1:9" ht="27">
      <c r="A12" s="104">
        <v>7</v>
      </c>
      <c r="B12" s="105" t="s">
        <v>1094</v>
      </c>
      <c r="C12" s="106">
        <v>2</v>
      </c>
      <c r="D12" s="106">
        <v>16</v>
      </c>
      <c r="E12" s="107">
        <f t="shared" si="0"/>
        <v>18</v>
      </c>
      <c r="F12" s="108"/>
      <c r="G12" s="108"/>
      <c r="H12" s="108"/>
      <c r="I12" s="108">
        <f t="shared" si="1"/>
        <v>0</v>
      </c>
    </row>
    <row r="13" spans="1:9" ht="19.5">
      <c r="A13" s="104">
        <v>8</v>
      </c>
      <c r="B13" s="105" t="s">
        <v>1095</v>
      </c>
      <c r="C13" s="106">
        <v>2</v>
      </c>
      <c r="D13" s="106">
        <v>8</v>
      </c>
      <c r="E13" s="107">
        <f t="shared" si="0"/>
        <v>10</v>
      </c>
      <c r="F13" s="109"/>
      <c r="G13" s="109"/>
      <c r="H13" s="109"/>
      <c r="I13" s="108">
        <f t="shared" si="1"/>
        <v>0</v>
      </c>
    </row>
    <row r="14" spans="1:9" ht="19.5">
      <c r="A14" s="104">
        <v>9</v>
      </c>
      <c r="B14" s="105" t="s">
        <v>1096</v>
      </c>
      <c r="C14" s="106"/>
      <c r="D14" s="106">
        <v>7</v>
      </c>
      <c r="E14" s="107">
        <f t="shared" si="0"/>
        <v>7</v>
      </c>
      <c r="F14" s="108"/>
      <c r="G14" s="108"/>
      <c r="H14" s="108"/>
      <c r="I14" s="108">
        <f t="shared" si="1"/>
        <v>0</v>
      </c>
    </row>
    <row r="15" spans="1:9" ht="27">
      <c r="A15" s="104">
        <v>10</v>
      </c>
      <c r="B15" s="105" t="s">
        <v>1097</v>
      </c>
      <c r="C15" s="106">
        <v>2</v>
      </c>
      <c r="D15" s="106">
        <v>24</v>
      </c>
      <c r="E15" s="107">
        <f t="shared" si="0"/>
        <v>26</v>
      </c>
      <c r="F15" s="108">
        <v>3</v>
      </c>
      <c r="G15" s="109">
        <v>1</v>
      </c>
      <c r="H15" s="109">
        <v>3</v>
      </c>
      <c r="I15" s="108">
        <f t="shared" si="1"/>
        <v>4</v>
      </c>
    </row>
    <row r="16" spans="1:9" ht="27">
      <c r="A16" s="104">
        <v>11</v>
      </c>
      <c r="B16" s="105" t="s">
        <v>1098</v>
      </c>
      <c r="C16" s="106">
        <v>3</v>
      </c>
      <c r="D16" s="106">
        <v>11</v>
      </c>
      <c r="E16" s="107">
        <f t="shared" si="0"/>
        <v>14</v>
      </c>
      <c r="F16" s="108"/>
      <c r="G16" s="108"/>
      <c r="H16" s="108"/>
      <c r="I16" s="108">
        <f t="shared" si="1"/>
        <v>0</v>
      </c>
    </row>
    <row r="17" spans="1:9" ht="27">
      <c r="A17" s="104">
        <v>12</v>
      </c>
      <c r="B17" s="105" t="s">
        <v>1099</v>
      </c>
      <c r="C17" s="106"/>
      <c r="D17" s="106">
        <v>3</v>
      </c>
      <c r="E17" s="107">
        <f t="shared" si="0"/>
        <v>3</v>
      </c>
      <c r="F17" s="108">
        <v>2</v>
      </c>
      <c r="G17" s="108">
        <v>2</v>
      </c>
      <c r="H17" s="108"/>
      <c r="I17" s="108">
        <f t="shared" si="1"/>
        <v>2</v>
      </c>
    </row>
    <row r="18" spans="1:9" ht="27">
      <c r="A18" s="104">
        <v>13</v>
      </c>
      <c r="B18" s="105" t="s">
        <v>1100</v>
      </c>
      <c r="C18" s="106"/>
      <c r="D18" s="106">
        <v>18</v>
      </c>
      <c r="E18" s="107">
        <f t="shared" si="0"/>
        <v>18</v>
      </c>
      <c r="F18" s="108">
        <v>8</v>
      </c>
      <c r="G18" s="108">
        <v>4</v>
      </c>
      <c r="H18" s="108">
        <v>4</v>
      </c>
      <c r="I18" s="108">
        <f t="shared" si="1"/>
        <v>8</v>
      </c>
    </row>
    <row r="19" spans="1:9" ht="27">
      <c r="A19" s="104">
        <v>14</v>
      </c>
      <c r="B19" s="105" t="s">
        <v>1101</v>
      </c>
      <c r="C19" s="106">
        <v>3</v>
      </c>
      <c r="D19" s="106">
        <v>16</v>
      </c>
      <c r="E19" s="107">
        <f t="shared" si="0"/>
        <v>19</v>
      </c>
      <c r="F19" s="108"/>
      <c r="G19" s="108"/>
      <c r="H19" s="108">
        <v>8</v>
      </c>
      <c r="I19" s="108">
        <f t="shared" si="1"/>
        <v>8</v>
      </c>
    </row>
    <row r="20" spans="1:9" ht="19.5">
      <c r="A20" s="110"/>
      <c r="B20" s="111" t="s">
        <v>1102</v>
      </c>
      <c r="C20" s="112">
        <f>SUM(C6:C19)</f>
        <v>15</v>
      </c>
      <c r="D20" s="112">
        <f>SUM(D6:D19)</f>
        <v>173</v>
      </c>
      <c r="E20" s="107">
        <f t="shared" si="0"/>
        <v>188</v>
      </c>
      <c r="F20" s="108">
        <f>SUM(F6:F19)</f>
        <v>20</v>
      </c>
      <c r="G20" s="108">
        <f>SUM(G6:G19)</f>
        <v>11</v>
      </c>
      <c r="H20" s="108">
        <f>SUM(H6:H19)</f>
        <v>23</v>
      </c>
      <c r="I20" s="108">
        <f t="shared" si="1"/>
        <v>34</v>
      </c>
    </row>
  </sheetData>
  <mergeCells count="3">
    <mergeCell ref="A1:I1"/>
    <mergeCell ref="A2:I2"/>
    <mergeCell ref="A3:I3"/>
  </mergeCells>
  <printOptions horizontalCentered="1"/>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75EDD-9A3E-4A33-94D6-FC9B6BF5A330}">
  <dimension ref="A1:J23"/>
  <sheetViews>
    <sheetView workbookViewId="0">
      <selection sqref="A1:I1"/>
    </sheetView>
  </sheetViews>
  <sheetFormatPr defaultRowHeight="15"/>
  <cols>
    <col min="1" max="1" width="3.85546875" style="60" customWidth="1"/>
    <col min="2" max="2" width="29.85546875" style="124" customWidth="1"/>
    <col min="3" max="3" width="9.42578125" style="124" customWidth="1"/>
    <col min="4" max="4" width="9.140625" style="124" customWidth="1"/>
    <col min="5" max="5" width="9.140625" customWidth="1"/>
    <col min="6" max="6" width="10.42578125" style="124" customWidth="1"/>
    <col min="7" max="7" width="9.7109375" style="124" customWidth="1"/>
    <col min="8" max="8" width="8.7109375" style="124" customWidth="1"/>
    <col min="9" max="9" width="9.5703125" style="124" customWidth="1"/>
  </cols>
  <sheetData>
    <row r="1" spans="1:10" ht="19.5">
      <c r="A1" s="394" t="s">
        <v>1343</v>
      </c>
      <c r="B1" s="394"/>
      <c r="C1" s="394"/>
      <c r="D1" s="394"/>
      <c r="E1" s="394"/>
      <c r="F1" s="394"/>
      <c r="G1" s="394"/>
      <c r="H1" s="394"/>
      <c r="I1" s="394"/>
    </row>
    <row r="2" spans="1:10" ht="19.5">
      <c r="A2" s="395" t="s">
        <v>1344</v>
      </c>
      <c r="B2" s="395"/>
      <c r="C2" s="395"/>
      <c r="D2" s="395"/>
      <c r="E2" s="395"/>
      <c r="F2" s="395"/>
      <c r="G2" s="395"/>
      <c r="H2" s="395"/>
      <c r="I2" s="395"/>
    </row>
    <row r="3" spans="1:10" ht="66" customHeight="1">
      <c r="A3" s="113" t="s">
        <v>1345</v>
      </c>
      <c r="B3" s="9" t="s">
        <v>1</v>
      </c>
      <c r="C3" s="9" t="s">
        <v>1346</v>
      </c>
      <c r="D3" s="9" t="s">
        <v>1347</v>
      </c>
      <c r="E3" s="9" t="s">
        <v>1348</v>
      </c>
      <c r="F3" s="9" t="s">
        <v>1349</v>
      </c>
      <c r="G3" s="9" t="s">
        <v>1350</v>
      </c>
      <c r="H3" s="9" t="s">
        <v>1351</v>
      </c>
      <c r="I3" s="9" t="s">
        <v>1352</v>
      </c>
      <c r="J3" s="114"/>
    </row>
    <row r="4" spans="1:10" ht="15.75">
      <c r="A4" s="115">
        <v>1</v>
      </c>
      <c r="B4" s="18">
        <v>2</v>
      </c>
      <c r="C4" s="116">
        <v>3</v>
      </c>
      <c r="D4" s="116">
        <v>4</v>
      </c>
      <c r="E4" s="116" t="s">
        <v>1353</v>
      </c>
      <c r="F4" s="116">
        <v>6</v>
      </c>
      <c r="G4" s="116">
        <v>7</v>
      </c>
      <c r="H4" s="116">
        <v>8</v>
      </c>
      <c r="I4" s="116" t="s">
        <v>1354</v>
      </c>
    </row>
    <row r="5" spans="1:10" ht="31.5">
      <c r="A5" s="13">
        <v>1</v>
      </c>
      <c r="B5" s="6" t="s">
        <v>1355</v>
      </c>
      <c r="C5" s="9">
        <v>7</v>
      </c>
      <c r="D5" s="9">
        <v>11</v>
      </c>
      <c r="E5" s="117">
        <f>C5+D5</f>
        <v>18</v>
      </c>
      <c r="F5" s="118">
        <v>4</v>
      </c>
      <c r="G5" s="118">
        <v>2</v>
      </c>
      <c r="H5" s="118">
        <v>5</v>
      </c>
      <c r="I5" s="118">
        <f>G5+H5</f>
        <v>7</v>
      </c>
      <c r="J5" s="119"/>
    </row>
    <row r="6" spans="1:10" ht="31.5">
      <c r="A6" s="13">
        <v>2</v>
      </c>
      <c r="B6" s="6" t="s">
        <v>1356</v>
      </c>
      <c r="C6" s="9">
        <v>3</v>
      </c>
      <c r="D6" s="9">
        <v>7</v>
      </c>
      <c r="E6" s="117">
        <f t="shared" ref="E6:E21" si="0">C6+D6</f>
        <v>10</v>
      </c>
      <c r="F6" s="118">
        <v>2</v>
      </c>
      <c r="G6" s="118">
        <v>1</v>
      </c>
      <c r="H6" s="118">
        <v>0</v>
      </c>
      <c r="I6" s="118">
        <f t="shared" ref="I6:I21" si="1">G6+H6</f>
        <v>1</v>
      </c>
      <c r="J6" s="119"/>
    </row>
    <row r="7" spans="1:10" ht="31.5">
      <c r="A7" s="13">
        <v>3</v>
      </c>
      <c r="B7" s="6" t="s">
        <v>1357</v>
      </c>
      <c r="C7" s="9">
        <v>4</v>
      </c>
      <c r="D7" s="9">
        <v>8</v>
      </c>
      <c r="E7" s="117">
        <f t="shared" si="0"/>
        <v>12</v>
      </c>
      <c r="F7" s="118">
        <v>0</v>
      </c>
      <c r="G7" s="118">
        <v>0</v>
      </c>
      <c r="H7" s="118">
        <v>5</v>
      </c>
      <c r="I7" s="118">
        <f t="shared" si="1"/>
        <v>5</v>
      </c>
      <c r="J7" s="119"/>
    </row>
    <row r="8" spans="1:10" ht="31.5">
      <c r="A8" s="13">
        <v>4</v>
      </c>
      <c r="B8" s="6" t="s">
        <v>1358</v>
      </c>
      <c r="C8" s="9">
        <v>2</v>
      </c>
      <c r="D8" s="9">
        <v>3</v>
      </c>
      <c r="E8" s="117">
        <f t="shared" si="0"/>
        <v>5</v>
      </c>
      <c r="F8" s="118">
        <v>3</v>
      </c>
      <c r="G8" s="118">
        <v>1</v>
      </c>
      <c r="H8" s="118">
        <v>0</v>
      </c>
      <c r="I8" s="118">
        <f t="shared" si="1"/>
        <v>1</v>
      </c>
      <c r="J8" s="119"/>
    </row>
    <row r="9" spans="1:10" ht="31.5">
      <c r="A9" s="13">
        <v>5</v>
      </c>
      <c r="B9" s="6" t="s">
        <v>1359</v>
      </c>
      <c r="C9" s="9">
        <v>5</v>
      </c>
      <c r="D9" s="9">
        <v>9</v>
      </c>
      <c r="E9" s="117">
        <f t="shared" si="0"/>
        <v>14</v>
      </c>
      <c r="F9" s="118">
        <v>2</v>
      </c>
      <c r="G9" s="118">
        <v>0</v>
      </c>
      <c r="H9" s="118">
        <v>4</v>
      </c>
      <c r="I9" s="118">
        <f t="shared" si="1"/>
        <v>4</v>
      </c>
      <c r="J9" s="119"/>
    </row>
    <row r="10" spans="1:10" ht="31.5">
      <c r="A10" s="13">
        <v>6</v>
      </c>
      <c r="B10" s="6" t="s">
        <v>1360</v>
      </c>
      <c r="C10" s="9">
        <v>4</v>
      </c>
      <c r="D10" s="9">
        <v>5</v>
      </c>
      <c r="E10" s="117">
        <f t="shared" si="0"/>
        <v>9</v>
      </c>
      <c r="F10" s="118">
        <v>5</v>
      </c>
      <c r="G10" s="118">
        <v>0</v>
      </c>
      <c r="H10" s="118">
        <v>0</v>
      </c>
      <c r="I10" s="118">
        <f t="shared" si="1"/>
        <v>0</v>
      </c>
      <c r="J10" s="119"/>
    </row>
    <row r="11" spans="1:10" ht="31.5">
      <c r="A11" s="13">
        <v>7</v>
      </c>
      <c r="B11" s="6" t="s">
        <v>1361</v>
      </c>
      <c r="C11" s="9">
        <v>2</v>
      </c>
      <c r="D11" s="9">
        <v>6</v>
      </c>
      <c r="E11" s="117">
        <f t="shared" si="0"/>
        <v>8</v>
      </c>
      <c r="F11" s="118">
        <v>6</v>
      </c>
      <c r="G11" s="118">
        <v>2</v>
      </c>
      <c r="H11" s="118">
        <v>0</v>
      </c>
      <c r="I11" s="118">
        <f t="shared" si="1"/>
        <v>2</v>
      </c>
      <c r="J11" s="119"/>
    </row>
    <row r="12" spans="1:10" ht="29.25" customHeight="1">
      <c r="A12" s="13">
        <v>8</v>
      </c>
      <c r="B12" s="5" t="s">
        <v>1362</v>
      </c>
      <c r="C12" s="9">
        <v>4</v>
      </c>
      <c r="D12" s="9">
        <v>15</v>
      </c>
      <c r="E12" s="117">
        <f t="shared" si="0"/>
        <v>19</v>
      </c>
      <c r="F12" s="118">
        <v>3</v>
      </c>
      <c r="G12" s="118">
        <v>2</v>
      </c>
      <c r="H12" s="118">
        <v>3</v>
      </c>
      <c r="I12" s="118">
        <f t="shared" si="1"/>
        <v>5</v>
      </c>
      <c r="J12" s="119"/>
    </row>
    <row r="13" spans="1:10" ht="33" customHeight="1">
      <c r="A13" s="13">
        <v>9</v>
      </c>
      <c r="B13" s="6" t="s">
        <v>1363</v>
      </c>
      <c r="C13" s="9">
        <v>4</v>
      </c>
      <c r="D13" s="9">
        <v>3</v>
      </c>
      <c r="E13" s="117">
        <f t="shared" si="0"/>
        <v>7</v>
      </c>
      <c r="F13" s="118">
        <v>2</v>
      </c>
      <c r="G13" s="118">
        <v>0</v>
      </c>
      <c r="H13" s="118">
        <v>0</v>
      </c>
      <c r="I13" s="118">
        <f t="shared" si="1"/>
        <v>0</v>
      </c>
      <c r="J13" s="119"/>
    </row>
    <row r="14" spans="1:10" ht="27.75" customHeight="1">
      <c r="A14" s="13">
        <v>10</v>
      </c>
      <c r="B14" s="5" t="s">
        <v>1364</v>
      </c>
      <c r="C14" s="9">
        <v>4</v>
      </c>
      <c r="D14" s="9">
        <v>6</v>
      </c>
      <c r="E14" s="117">
        <f t="shared" si="0"/>
        <v>10</v>
      </c>
      <c r="F14" s="118">
        <v>6</v>
      </c>
      <c r="G14" s="118">
        <v>1</v>
      </c>
      <c r="H14" s="118">
        <v>0</v>
      </c>
      <c r="I14" s="118">
        <f t="shared" si="1"/>
        <v>1</v>
      </c>
      <c r="J14" s="119"/>
    </row>
    <row r="15" spans="1:10" ht="29.45" customHeight="1">
      <c r="A15" s="13">
        <v>11</v>
      </c>
      <c r="B15" s="6" t="s">
        <v>1365</v>
      </c>
      <c r="C15" s="9">
        <v>0</v>
      </c>
      <c r="D15" s="9">
        <v>1</v>
      </c>
      <c r="E15" s="117">
        <f t="shared" si="0"/>
        <v>1</v>
      </c>
      <c r="F15" s="118">
        <v>0</v>
      </c>
      <c r="G15" s="118">
        <v>0</v>
      </c>
      <c r="H15" s="118">
        <v>0</v>
      </c>
      <c r="I15" s="118">
        <f t="shared" si="1"/>
        <v>0</v>
      </c>
      <c r="J15" s="119"/>
    </row>
    <row r="16" spans="1:10" ht="31.5" customHeight="1">
      <c r="A16" s="13">
        <v>12</v>
      </c>
      <c r="B16" s="6" t="s">
        <v>1366</v>
      </c>
      <c r="C16" s="9">
        <v>0</v>
      </c>
      <c r="D16" s="9">
        <v>1</v>
      </c>
      <c r="E16" s="117">
        <f t="shared" si="0"/>
        <v>1</v>
      </c>
      <c r="F16" s="118">
        <v>0</v>
      </c>
      <c r="G16" s="118">
        <v>0</v>
      </c>
      <c r="H16" s="118">
        <v>0</v>
      </c>
      <c r="I16" s="118">
        <f t="shared" si="1"/>
        <v>0</v>
      </c>
      <c r="J16" s="119"/>
    </row>
    <row r="17" spans="1:10" ht="31.5">
      <c r="A17" s="13">
        <v>13</v>
      </c>
      <c r="B17" s="6" t="s">
        <v>1367</v>
      </c>
      <c r="C17" s="9">
        <v>0</v>
      </c>
      <c r="D17" s="9">
        <v>5</v>
      </c>
      <c r="E17" s="117">
        <f t="shared" si="0"/>
        <v>5</v>
      </c>
      <c r="F17" s="118">
        <v>5</v>
      </c>
      <c r="G17" s="118">
        <v>1</v>
      </c>
      <c r="H17" s="118">
        <v>0</v>
      </c>
      <c r="I17" s="118">
        <f t="shared" si="1"/>
        <v>1</v>
      </c>
      <c r="J17" s="119"/>
    </row>
    <row r="18" spans="1:10" ht="30" customHeight="1">
      <c r="A18" s="13">
        <v>14</v>
      </c>
      <c r="B18" s="6" t="s">
        <v>1368</v>
      </c>
      <c r="C18" s="9">
        <v>4</v>
      </c>
      <c r="D18" s="9">
        <v>15</v>
      </c>
      <c r="E18" s="117">
        <f t="shared" si="0"/>
        <v>19</v>
      </c>
      <c r="F18" s="118">
        <v>0</v>
      </c>
      <c r="G18" s="118">
        <v>0</v>
      </c>
      <c r="H18" s="118">
        <v>7</v>
      </c>
      <c r="I18" s="118">
        <f t="shared" si="1"/>
        <v>7</v>
      </c>
      <c r="J18" s="119"/>
    </row>
    <row r="19" spans="1:10" ht="32.25" customHeight="1">
      <c r="A19" s="13">
        <v>15</v>
      </c>
      <c r="B19" s="6" t="s">
        <v>1369</v>
      </c>
      <c r="C19" s="120">
        <v>3</v>
      </c>
      <c r="D19" s="120">
        <v>8</v>
      </c>
      <c r="E19" s="117">
        <f t="shared" si="0"/>
        <v>11</v>
      </c>
      <c r="F19" s="118">
        <v>0</v>
      </c>
      <c r="G19" s="118">
        <v>0</v>
      </c>
      <c r="H19" s="118">
        <v>7</v>
      </c>
      <c r="I19" s="118">
        <f t="shared" si="1"/>
        <v>7</v>
      </c>
      <c r="J19" s="121"/>
    </row>
    <row r="20" spans="1:10" ht="47.25">
      <c r="A20" s="13">
        <v>16</v>
      </c>
      <c r="B20" s="6" t="s">
        <v>1370</v>
      </c>
      <c r="C20" s="120">
        <v>3</v>
      </c>
      <c r="D20" s="120">
        <v>8</v>
      </c>
      <c r="E20" s="117">
        <f t="shared" si="0"/>
        <v>11</v>
      </c>
      <c r="F20" s="118">
        <v>0</v>
      </c>
      <c r="G20" s="118">
        <v>0</v>
      </c>
      <c r="H20" s="118">
        <v>7</v>
      </c>
      <c r="I20" s="118">
        <f t="shared" si="1"/>
        <v>7</v>
      </c>
      <c r="J20" s="121"/>
    </row>
    <row r="21" spans="1:10" ht="65.45" customHeight="1">
      <c r="A21" s="13">
        <v>17</v>
      </c>
      <c r="B21" s="6" t="s">
        <v>1371</v>
      </c>
      <c r="C21" s="120">
        <v>0</v>
      </c>
      <c r="D21" s="120">
        <v>7</v>
      </c>
      <c r="E21" s="117">
        <f t="shared" si="0"/>
        <v>7</v>
      </c>
      <c r="F21" s="118">
        <v>0</v>
      </c>
      <c r="G21" s="118">
        <v>0</v>
      </c>
      <c r="H21" s="118">
        <v>7</v>
      </c>
      <c r="I21" s="118">
        <f t="shared" si="1"/>
        <v>7</v>
      </c>
      <c r="J21" s="121"/>
    </row>
    <row r="22" spans="1:10" ht="15.75">
      <c r="A22" s="95"/>
      <c r="B22" s="6" t="s">
        <v>1372</v>
      </c>
      <c r="C22" s="122">
        <f t="shared" ref="C22:H22" si="2">SUM(C5:C21)</f>
        <v>49</v>
      </c>
      <c r="D22" s="122">
        <f t="shared" si="2"/>
        <v>118</v>
      </c>
      <c r="E22" s="122">
        <f t="shared" si="2"/>
        <v>167</v>
      </c>
      <c r="F22" s="122">
        <f t="shared" si="2"/>
        <v>38</v>
      </c>
      <c r="G22" s="122">
        <f t="shared" si="2"/>
        <v>10</v>
      </c>
      <c r="H22" s="122">
        <f t="shared" si="2"/>
        <v>45</v>
      </c>
      <c r="I22" s="122">
        <f>SUM(I5:I21)</f>
        <v>55</v>
      </c>
    </row>
    <row r="23" spans="1:10">
      <c r="B23" s="123"/>
      <c r="C23" s="123"/>
      <c r="D23" s="123"/>
    </row>
  </sheetData>
  <mergeCells count="2">
    <mergeCell ref="A1:I1"/>
    <mergeCell ref="A2:I2"/>
  </mergeCells>
  <conditionalFormatting sqref="A3:A4">
    <cfRule type="expression" dxfId="6" priority="1">
      <formula>MOD(ROW(),2)=0</formula>
    </cfRule>
  </conditionalFormatting>
  <pageMargins left="0.45" right="0.2" top="0.5" bottom="0.2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CE62C-BBFB-4F41-BBF5-28E687BFCFEC}">
  <dimension ref="A1:I34"/>
  <sheetViews>
    <sheetView topLeftCell="A4" workbookViewId="0">
      <selection activeCell="G8" sqref="G8"/>
    </sheetView>
  </sheetViews>
  <sheetFormatPr defaultRowHeight="15"/>
  <cols>
    <col min="1" max="1" width="4.85546875" customWidth="1"/>
    <col min="2" max="2" width="31.140625" customWidth="1"/>
    <col min="3" max="3" width="6.42578125" customWidth="1"/>
    <col min="4" max="4" width="7.140625" customWidth="1"/>
    <col min="5" max="5" width="6.140625" customWidth="1"/>
    <col min="6" max="6" width="9.140625" customWidth="1"/>
    <col min="7" max="7" width="8.7109375" customWidth="1"/>
    <col min="8" max="8" width="6.7109375" customWidth="1"/>
    <col min="9" max="9" width="8.42578125" customWidth="1"/>
  </cols>
  <sheetData>
    <row r="1" spans="1:9" ht="21.75">
      <c r="A1" s="134"/>
      <c r="B1" s="396" t="s">
        <v>938</v>
      </c>
      <c r="C1" s="397"/>
      <c r="D1" s="397"/>
      <c r="E1" s="397"/>
      <c r="F1" s="397"/>
      <c r="G1" s="397"/>
      <c r="H1" s="397"/>
    </row>
    <row r="2" spans="1:9" ht="21.75">
      <c r="A2" s="135"/>
      <c r="B2" s="398" t="s">
        <v>1585</v>
      </c>
      <c r="C2" s="399"/>
      <c r="D2" s="399"/>
      <c r="E2" s="399"/>
      <c r="F2" s="399"/>
      <c r="G2" s="399"/>
      <c r="H2" s="399"/>
    </row>
    <row r="3" spans="1:9" ht="19.5">
      <c r="A3" s="134"/>
      <c r="B3" s="398" t="s">
        <v>1586</v>
      </c>
      <c r="C3" s="399"/>
      <c r="D3" s="399"/>
      <c r="E3" s="399"/>
      <c r="F3" s="399"/>
      <c r="G3" s="399"/>
      <c r="H3" s="399"/>
    </row>
    <row r="4" spans="1:9" ht="63">
      <c r="A4" s="136" t="s">
        <v>1587</v>
      </c>
      <c r="B4" s="136" t="s">
        <v>1</v>
      </c>
      <c r="C4" s="137" t="s">
        <v>1588</v>
      </c>
      <c r="D4" s="137" t="s">
        <v>1589</v>
      </c>
      <c r="E4" s="136" t="s">
        <v>230</v>
      </c>
      <c r="F4" s="138" t="s">
        <v>1590</v>
      </c>
      <c r="G4" s="138" t="s">
        <v>1591</v>
      </c>
      <c r="H4" s="138" t="s">
        <v>1592</v>
      </c>
      <c r="I4" s="138" t="s">
        <v>1593</v>
      </c>
    </row>
    <row r="5" spans="1:9" ht="15.75">
      <c r="A5" s="139">
        <v>1</v>
      </c>
      <c r="B5" s="139">
        <v>2</v>
      </c>
      <c r="C5" s="140">
        <v>3</v>
      </c>
      <c r="D5" s="140">
        <v>4</v>
      </c>
      <c r="E5" s="139">
        <v>5</v>
      </c>
      <c r="F5" s="141">
        <v>6</v>
      </c>
      <c r="G5" s="141">
        <v>7</v>
      </c>
      <c r="H5" s="141">
        <v>8</v>
      </c>
      <c r="I5" s="142" t="s">
        <v>1594</v>
      </c>
    </row>
    <row r="6" spans="1:9" ht="15.75">
      <c r="A6" s="143">
        <v>1</v>
      </c>
      <c r="B6" s="144" t="s">
        <v>1595</v>
      </c>
      <c r="C6" s="145"/>
      <c r="D6" s="145">
        <v>4</v>
      </c>
      <c r="E6" s="145">
        <f>SUM(C6:D6)</f>
        <v>4</v>
      </c>
      <c r="F6" s="146"/>
      <c r="G6" s="146"/>
      <c r="H6" s="146"/>
      <c r="I6" s="90"/>
    </row>
    <row r="7" spans="1:9" ht="29.25" customHeight="1">
      <c r="A7" s="143">
        <v>2</v>
      </c>
      <c r="B7" s="147" t="s">
        <v>1596</v>
      </c>
      <c r="C7" s="145">
        <v>4</v>
      </c>
      <c r="D7" s="145"/>
      <c r="E7" s="145">
        <v>4</v>
      </c>
      <c r="F7" s="146"/>
      <c r="G7" s="146"/>
      <c r="H7" s="143">
        <v>4</v>
      </c>
      <c r="I7" s="90"/>
    </row>
    <row r="8" spans="1:9" ht="31.5">
      <c r="A8" s="143">
        <v>3</v>
      </c>
      <c r="B8" s="148" t="s">
        <v>1597</v>
      </c>
      <c r="C8" s="149"/>
      <c r="D8" s="145">
        <v>2</v>
      </c>
      <c r="E8" s="145">
        <f t="shared" ref="E8:E27" si="0">SUM(C8:D8)</f>
        <v>2</v>
      </c>
      <c r="F8" s="146"/>
      <c r="G8" s="146"/>
      <c r="H8" s="143">
        <v>2</v>
      </c>
      <c r="I8" s="90"/>
    </row>
    <row r="9" spans="1:9" ht="15.75">
      <c r="A9" s="143">
        <v>4</v>
      </c>
      <c r="B9" s="148" t="s">
        <v>1598</v>
      </c>
      <c r="C9" s="149"/>
      <c r="D9" s="145">
        <f>6-1</f>
        <v>5</v>
      </c>
      <c r="E9" s="145">
        <f t="shared" si="0"/>
        <v>5</v>
      </c>
      <c r="F9" s="143">
        <v>5</v>
      </c>
      <c r="G9" s="146"/>
      <c r="H9" s="146"/>
      <c r="I9" s="90"/>
    </row>
    <row r="10" spans="1:9" ht="15.75">
      <c r="A10" s="143">
        <v>5</v>
      </c>
      <c r="B10" s="148" t="s">
        <v>1599</v>
      </c>
      <c r="C10" s="145">
        <v>3</v>
      </c>
      <c r="D10" s="145">
        <v>10</v>
      </c>
      <c r="E10" s="145">
        <f t="shared" si="0"/>
        <v>13</v>
      </c>
      <c r="F10" s="146"/>
      <c r="G10" s="146"/>
      <c r="H10" s="143">
        <v>13</v>
      </c>
      <c r="I10" s="90"/>
    </row>
    <row r="11" spans="1:9" ht="31.5">
      <c r="A11" s="143">
        <v>6</v>
      </c>
      <c r="B11" s="148" t="s">
        <v>1600</v>
      </c>
      <c r="C11" s="145">
        <v>1</v>
      </c>
      <c r="D11" s="149"/>
      <c r="E11" s="145">
        <f t="shared" si="0"/>
        <v>1</v>
      </c>
      <c r="F11" s="146"/>
      <c r="G11" s="146"/>
      <c r="H11" s="143">
        <v>1</v>
      </c>
      <c r="I11" s="90"/>
    </row>
    <row r="12" spans="1:9" ht="31.5">
      <c r="A12" s="143">
        <v>7</v>
      </c>
      <c r="B12" s="148" t="s">
        <v>1601</v>
      </c>
      <c r="C12" s="149"/>
      <c r="D12" s="145">
        <v>1</v>
      </c>
      <c r="E12" s="145">
        <f t="shared" si="0"/>
        <v>1</v>
      </c>
      <c r="F12" s="146"/>
      <c r="G12" s="146"/>
      <c r="H12" s="146"/>
      <c r="I12" s="90"/>
    </row>
    <row r="13" spans="1:9" ht="31.5">
      <c r="A13" s="143">
        <v>8</v>
      </c>
      <c r="B13" s="148" t="s">
        <v>1602</v>
      </c>
      <c r="C13" s="145"/>
      <c r="D13" s="145">
        <v>1</v>
      </c>
      <c r="E13" s="145">
        <f t="shared" si="0"/>
        <v>1</v>
      </c>
      <c r="F13" s="146"/>
      <c r="G13" s="146"/>
      <c r="H13" s="146"/>
      <c r="I13" s="90"/>
    </row>
    <row r="14" spans="1:9" ht="31.5">
      <c r="A14" s="143">
        <v>9</v>
      </c>
      <c r="B14" s="150" t="s">
        <v>1603</v>
      </c>
      <c r="C14" s="145">
        <v>4</v>
      </c>
      <c r="D14" s="145">
        <v>2</v>
      </c>
      <c r="E14" s="145">
        <f t="shared" si="0"/>
        <v>6</v>
      </c>
      <c r="F14" s="143">
        <v>4</v>
      </c>
      <c r="G14" s="146"/>
      <c r="H14" s="143">
        <v>2</v>
      </c>
      <c r="I14" s="90"/>
    </row>
    <row r="15" spans="1:9" ht="15.75">
      <c r="A15" s="143">
        <v>10</v>
      </c>
      <c r="B15" s="150" t="s">
        <v>1604</v>
      </c>
      <c r="C15" s="145"/>
      <c r="D15" s="145">
        <v>1</v>
      </c>
      <c r="E15" s="145">
        <f t="shared" si="0"/>
        <v>1</v>
      </c>
      <c r="F15" s="146"/>
      <c r="G15" s="146"/>
      <c r="H15" s="143">
        <v>1</v>
      </c>
      <c r="I15" s="90"/>
    </row>
    <row r="16" spans="1:9" ht="31.5">
      <c r="A16" s="143">
        <v>11</v>
      </c>
      <c r="B16" s="148" t="s">
        <v>1605</v>
      </c>
      <c r="C16" s="151">
        <f>8-2</f>
        <v>6</v>
      </c>
      <c r="D16" s="151">
        <v>2</v>
      </c>
      <c r="E16" s="145">
        <f t="shared" si="0"/>
        <v>8</v>
      </c>
      <c r="F16" s="143">
        <v>1</v>
      </c>
      <c r="G16" s="146"/>
      <c r="H16" s="143">
        <v>7</v>
      </c>
      <c r="I16" s="90"/>
    </row>
    <row r="17" spans="1:9" ht="31.5">
      <c r="A17" s="143">
        <v>12</v>
      </c>
      <c r="B17" s="148" t="s">
        <v>1606</v>
      </c>
      <c r="C17" s="152"/>
      <c r="D17" s="151">
        <v>4</v>
      </c>
      <c r="E17" s="145">
        <f t="shared" si="0"/>
        <v>4</v>
      </c>
      <c r="F17" s="146"/>
      <c r="G17" s="146"/>
      <c r="H17" s="143">
        <v>4</v>
      </c>
      <c r="I17" s="90"/>
    </row>
    <row r="18" spans="1:9" ht="31.5">
      <c r="A18" s="143">
        <v>13</v>
      </c>
      <c r="B18" s="150" t="s">
        <v>1607</v>
      </c>
      <c r="C18" s="151">
        <v>5</v>
      </c>
      <c r="D18" s="151">
        <v>16</v>
      </c>
      <c r="E18" s="151">
        <f t="shared" si="0"/>
        <v>21</v>
      </c>
      <c r="F18" s="143">
        <v>6</v>
      </c>
      <c r="G18" s="146"/>
      <c r="H18" s="143">
        <v>12</v>
      </c>
      <c r="I18" s="90"/>
    </row>
    <row r="19" spans="1:9" ht="31.5">
      <c r="A19" s="143">
        <v>14</v>
      </c>
      <c r="B19" s="148" t="s">
        <v>1608</v>
      </c>
      <c r="C19" s="152"/>
      <c r="D19" s="151">
        <v>9</v>
      </c>
      <c r="E19" s="145">
        <f t="shared" si="0"/>
        <v>9</v>
      </c>
      <c r="F19" s="146"/>
      <c r="G19" s="146"/>
      <c r="H19" s="143">
        <v>2</v>
      </c>
      <c r="I19" s="90"/>
    </row>
    <row r="20" spans="1:9" ht="31.5">
      <c r="A20" s="143">
        <v>15</v>
      </c>
      <c r="B20" s="148" t="s">
        <v>1609</v>
      </c>
      <c r="C20" s="151">
        <v>3</v>
      </c>
      <c r="D20" s="151">
        <v>3</v>
      </c>
      <c r="E20" s="145">
        <f t="shared" si="0"/>
        <v>6</v>
      </c>
      <c r="F20" s="143">
        <v>5</v>
      </c>
      <c r="G20" s="146"/>
      <c r="H20" s="143">
        <v>2</v>
      </c>
      <c r="I20" s="90"/>
    </row>
    <row r="21" spans="1:9" ht="31.5">
      <c r="A21" s="143">
        <v>16</v>
      </c>
      <c r="B21" s="148" t="s">
        <v>1610</v>
      </c>
      <c r="C21" s="152"/>
      <c r="D21" s="151">
        <v>2</v>
      </c>
      <c r="E21" s="145">
        <f t="shared" si="0"/>
        <v>2</v>
      </c>
      <c r="F21" s="146"/>
      <c r="G21" s="146"/>
      <c r="H21" s="146"/>
      <c r="I21" s="90"/>
    </row>
    <row r="22" spans="1:9" ht="31.5">
      <c r="A22" s="143">
        <v>17</v>
      </c>
      <c r="B22" s="148" t="s">
        <v>1611</v>
      </c>
      <c r="C22" s="151"/>
      <c r="D22" s="151">
        <v>1</v>
      </c>
      <c r="E22" s="145">
        <f t="shared" si="0"/>
        <v>1</v>
      </c>
      <c r="F22" s="143">
        <v>1</v>
      </c>
      <c r="G22" s="146"/>
      <c r="H22" s="146"/>
      <c r="I22" s="90"/>
    </row>
    <row r="23" spans="1:9" ht="31.5">
      <c r="A23" s="143">
        <v>18</v>
      </c>
      <c r="B23" s="148" t="s">
        <v>1612</v>
      </c>
      <c r="C23" s="151">
        <v>4</v>
      </c>
      <c r="D23" s="151">
        <v>2</v>
      </c>
      <c r="E23" s="145">
        <f t="shared" si="0"/>
        <v>6</v>
      </c>
      <c r="F23" s="143">
        <v>4</v>
      </c>
      <c r="G23" s="146"/>
      <c r="H23" s="143">
        <v>1</v>
      </c>
      <c r="I23" s="90"/>
    </row>
    <row r="24" spans="1:9" ht="31.5">
      <c r="A24" s="143">
        <v>19</v>
      </c>
      <c r="B24" s="148" t="s">
        <v>1613</v>
      </c>
      <c r="C24" s="152"/>
      <c r="D24" s="151">
        <v>9</v>
      </c>
      <c r="E24" s="145">
        <f t="shared" si="0"/>
        <v>9</v>
      </c>
      <c r="F24" s="146"/>
      <c r="G24" s="146"/>
      <c r="H24" s="143">
        <v>9</v>
      </c>
      <c r="I24" s="90"/>
    </row>
    <row r="25" spans="1:9" ht="15.75">
      <c r="A25" s="143">
        <v>20</v>
      </c>
      <c r="B25" s="148" t="s">
        <v>1614</v>
      </c>
      <c r="C25" s="152"/>
      <c r="D25" s="151">
        <f>9-7</f>
        <v>2</v>
      </c>
      <c r="E25" s="145">
        <f t="shared" si="0"/>
        <v>2</v>
      </c>
      <c r="F25" s="146"/>
      <c r="G25" s="146"/>
      <c r="H25" s="143">
        <v>2</v>
      </c>
      <c r="I25" s="90"/>
    </row>
    <row r="26" spans="1:9" ht="31.5">
      <c r="A26" s="143">
        <v>21</v>
      </c>
      <c r="B26" s="148" t="s">
        <v>1615</v>
      </c>
      <c r="C26" s="151">
        <v>1</v>
      </c>
      <c r="D26" s="151">
        <v>1</v>
      </c>
      <c r="E26" s="145">
        <f t="shared" si="0"/>
        <v>2</v>
      </c>
      <c r="F26" s="146"/>
      <c r="G26" s="146"/>
      <c r="H26" s="143">
        <v>2</v>
      </c>
      <c r="I26" s="90"/>
    </row>
    <row r="27" spans="1:9" ht="31.5">
      <c r="A27" s="143">
        <v>22</v>
      </c>
      <c r="B27" s="148" t="s">
        <v>1616</v>
      </c>
      <c r="C27" s="152"/>
      <c r="D27" s="151">
        <v>1</v>
      </c>
      <c r="E27" s="145">
        <f t="shared" si="0"/>
        <v>1</v>
      </c>
      <c r="F27" s="146"/>
      <c r="G27" s="146"/>
      <c r="H27" s="143">
        <v>1</v>
      </c>
      <c r="I27" s="90"/>
    </row>
    <row r="28" spans="1:9" ht="47.25">
      <c r="A28" s="143">
        <v>23</v>
      </c>
      <c r="B28" s="153" t="s">
        <v>1617</v>
      </c>
      <c r="C28" s="151">
        <v>6</v>
      </c>
      <c r="D28" s="151">
        <v>6</v>
      </c>
      <c r="E28" s="145">
        <v>12</v>
      </c>
      <c r="F28" s="146"/>
      <c r="G28" s="146"/>
      <c r="H28" s="143">
        <v>11</v>
      </c>
      <c r="I28" s="90"/>
    </row>
    <row r="29" spans="1:9" ht="30.75" customHeight="1">
      <c r="A29" s="143">
        <v>24</v>
      </c>
      <c r="B29" s="154" t="s">
        <v>1618</v>
      </c>
      <c r="C29" s="151">
        <v>1</v>
      </c>
      <c r="D29" s="151"/>
      <c r="E29" s="145">
        <v>1</v>
      </c>
      <c r="F29" s="146"/>
      <c r="G29" s="146"/>
      <c r="H29" s="143">
        <v>1</v>
      </c>
      <c r="I29" s="90"/>
    </row>
    <row r="30" spans="1:9" ht="49.5" customHeight="1">
      <c r="A30" s="143">
        <v>25</v>
      </c>
      <c r="B30" s="154" t="s">
        <v>1619</v>
      </c>
      <c r="C30" s="151">
        <v>7</v>
      </c>
      <c r="D30" s="151">
        <v>7</v>
      </c>
      <c r="E30" s="151">
        <f>SUM(C30+D30)</f>
        <v>14</v>
      </c>
      <c r="F30" s="146"/>
      <c r="G30" s="146"/>
      <c r="H30" s="143">
        <v>14</v>
      </c>
      <c r="I30" s="90"/>
    </row>
    <row r="31" spans="1:9" ht="15.75">
      <c r="A31" s="155"/>
      <c r="B31" s="137" t="s">
        <v>230</v>
      </c>
      <c r="C31" s="156">
        <f>SUM(C6:C30)</f>
        <v>45</v>
      </c>
      <c r="D31" s="156">
        <f>SUM(D6:D30)</f>
        <v>91</v>
      </c>
      <c r="E31" s="156">
        <f>SUM(C31+D31)</f>
        <v>136</v>
      </c>
      <c r="F31" s="157">
        <f>SUM(F6:F30)</f>
        <v>26</v>
      </c>
      <c r="G31" s="157">
        <f t="shared" ref="G31" si="1">SUM(G6:G27)</f>
        <v>0</v>
      </c>
      <c r="H31" s="157">
        <f>SUM(H6:H30)</f>
        <v>91</v>
      </c>
      <c r="I31" s="90"/>
    </row>
    <row r="32" spans="1:9" ht="21.75">
      <c r="A32" s="158"/>
      <c r="B32" s="158"/>
      <c r="C32" s="158"/>
      <c r="D32" s="158"/>
      <c r="E32" s="158"/>
      <c r="F32" s="159"/>
      <c r="G32" s="159"/>
      <c r="H32" s="159"/>
    </row>
    <row r="33" spans="1:8" ht="21.75">
      <c r="A33" s="158"/>
      <c r="B33" s="160"/>
      <c r="C33" s="160"/>
      <c r="D33" s="160"/>
      <c r="E33" s="158"/>
      <c r="F33" s="159"/>
      <c r="G33" s="159"/>
      <c r="H33" s="159"/>
    </row>
    <row r="34" spans="1:8" ht="21.75">
      <c r="A34" s="158"/>
      <c r="B34" s="160"/>
      <c r="C34" s="160"/>
      <c r="D34" s="160"/>
      <c r="E34" s="158"/>
      <c r="F34" s="161"/>
      <c r="G34" s="158"/>
      <c r="H34" s="158"/>
    </row>
  </sheetData>
  <mergeCells count="3">
    <mergeCell ref="B1:H1"/>
    <mergeCell ref="B2:H2"/>
    <mergeCell ref="B3:H3"/>
  </mergeCells>
  <pageMargins left="0.7" right="0.7" top="0.75" bottom="0.2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6837B-81C1-4039-9056-2EC92390E522}">
  <dimension ref="A1:S29"/>
  <sheetViews>
    <sheetView workbookViewId="0">
      <selection activeCell="B4" sqref="B4"/>
    </sheetView>
  </sheetViews>
  <sheetFormatPr defaultRowHeight="21.75" customHeight="1"/>
  <cols>
    <col min="1" max="1" width="6.140625" style="25" customWidth="1"/>
    <col min="2" max="2" width="40.140625" customWidth="1"/>
    <col min="3" max="3" width="7.5703125" customWidth="1"/>
    <col min="4" max="4" width="11.42578125" bestFit="1" customWidth="1"/>
    <col min="5" max="5" width="8.5703125" style="25" customWidth="1"/>
    <col min="6" max="6" width="10.42578125" style="25" customWidth="1"/>
    <col min="7" max="7" width="7.28515625" style="25" customWidth="1"/>
    <col min="8" max="8" width="9.140625" style="25" customWidth="1"/>
    <col min="9" max="9" width="10" style="25" customWidth="1"/>
  </cols>
  <sheetData>
    <row r="1" spans="1:9" ht="76.5" customHeight="1">
      <c r="A1" s="400" t="s">
        <v>1820</v>
      </c>
      <c r="B1" s="400"/>
      <c r="C1" s="400"/>
      <c r="D1" s="400"/>
      <c r="E1" s="400"/>
      <c r="F1" s="400"/>
      <c r="G1" s="400"/>
      <c r="H1" s="400"/>
      <c r="I1" s="400"/>
    </row>
    <row r="2" spans="1:9" s="17" customFormat="1" ht="65.25" customHeight="1">
      <c r="A2" s="9" t="s">
        <v>0</v>
      </c>
      <c r="B2" s="13" t="s">
        <v>1</v>
      </c>
      <c r="C2" s="15" t="s">
        <v>1821</v>
      </c>
      <c r="D2" s="14" t="s">
        <v>1822</v>
      </c>
      <c r="E2" s="13" t="s">
        <v>230</v>
      </c>
      <c r="F2" s="9" t="s">
        <v>1823</v>
      </c>
      <c r="G2" s="9" t="s">
        <v>1824</v>
      </c>
      <c r="H2" s="9" t="s">
        <v>1825</v>
      </c>
      <c r="I2" s="239" t="s">
        <v>234</v>
      </c>
    </row>
    <row r="3" spans="1:9" s="17" customFormat="1" ht="26.25" customHeight="1">
      <c r="A3" s="16">
        <v>1</v>
      </c>
      <c r="B3" s="89">
        <v>2</v>
      </c>
      <c r="C3" s="89">
        <v>3</v>
      </c>
      <c r="D3" s="89">
        <v>4</v>
      </c>
      <c r="E3" s="89" t="s">
        <v>947</v>
      </c>
      <c r="F3" s="16">
        <v>6</v>
      </c>
      <c r="G3" s="9">
        <v>7</v>
      </c>
      <c r="H3" s="9">
        <v>8</v>
      </c>
      <c r="I3" s="240" t="s">
        <v>1826</v>
      </c>
    </row>
    <row r="4" spans="1:9" ht="30.75" customHeight="1">
      <c r="A4" s="19">
        <v>1</v>
      </c>
      <c r="B4" s="29" t="s">
        <v>1827</v>
      </c>
      <c r="C4" s="29"/>
      <c r="D4" s="29">
        <v>6</v>
      </c>
      <c r="E4" s="19">
        <f>C4+D4</f>
        <v>6</v>
      </c>
      <c r="F4" s="19">
        <v>4</v>
      </c>
      <c r="G4" s="19">
        <v>3</v>
      </c>
      <c r="H4" s="19"/>
      <c r="I4" s="241">
        <f>G4+H4</f>
        <v>3</v>
      </c>
    </row>
    <row r="5" spans="1:9" ht="17.25" customHeight="1">
      <c r="A5" s="19">
        <v>2</v>
      </c>
      <c r="B5" s="29" t="s">
        <v>1828</v>
      </c>
      <c r="C5" s="29">
        <v>4</v>
      </c>
      <c r="D5" s="29">
        <v>9</v>
      </c>
      <c r="E5" s="19">
        <f>C5+D5</f>
        <v>13</v>
      </c>
      <c r="F5" s="19">
        <v>3</v>
      </c>
      <c r="G5" s="19"/>
      <c r="H5" s="19">
        <v>3</v>
      </c>
      <c r="I5" s="241">
        <f t="shared" ref="I5:I22" si="0">G5+H5</f>
        <v>3</v>
      </c>
    </row>
    <row r="6" spans="1:9" ht="27.75" customHeight="1">
      <c r="A6" s="19">
        <v>3</v>
      </c>
      <c r="B6" s="29" t="s">
        <v>1829</v>
      </c>
      <c r="C6" s="29">
        <v>6</v>
      </c>
      <c r="D6" s="29">
        <v>51</v>
      </c>
      <c r="E6" s="19">
        <f t="shared" ref="E6:E22" si="1">C6+D6</f>
        <v>57</v>
      </c>
      <c r="F6" s="19">
        <v>12</v>
      </c>
      <c r="G6" s="19">
        <v>8</v>
      </c>
      <c r="H6" s="19">
        <v>5</v>
      </c>
      <c r="I6" s="241">
        <f t="shared" si="0"/>
        <v>13</v>
      </c>
    </row>
    <row r="7" spans="1:9" ht="21.75" customHeight="1">
      <c r="A7" s="19">
        <v>4</v>
      </c>
      <c r="B7" s="29" t="s">
        <v>1830</v>
      </c>
      <c r="C7" s="29">
        <v>8</v>
      </c>
      <c r="D7" s="29">
        <v>38</v>
      </c>
      <c r="E7" s="19">
        <f t="shared" si="1"/>
        <v>46</v>
      </c>
      <c r="F7" s="19">
        <v>18</v>
      </c>
      <c r="G7" s="19">
        <v>9</v>
      </c>
      <c r="H7" s="19">
        <v>18</v>
      </c>
      <c r="I7" s="241">
        <f t="shared" si="0"/>
        <v>27</v>
      </c>
    </row>
    <row r="8" spans="1:9" ht="29.25" customHeight="1">
      <c r="A8" s="19">
        <v>5</v>
      </c>
      <c r="B8" s="242" t="s">
        <v>1831</v>
      </c>
      <c r="C8" s="242">
        <v>2</v>
      </c>
      <c r="D8" s="29">
        <v>9</v>
      </c>
      <c r="E8" s="19">
        <f t="shared" si="1"/>
        <v>11</v>
      </c>
      <c r="F8" s="19">
        <v>13</v>
      </c>
      <c r="G8" s="19">
        <v>9</v>
      </c>
      <c r="H8" s="19">
        <v>7</v>
      </c>
      <c r="I8" s="241">
        <f t="shared" si="0"/>
        <v>16</v>
      </c>
    </row>
    <row r="9" spans="1:9" ht="28.5" customHeight="1">
      <c r="A9" s="19">
        <v>6</v>
      </c>
      <c r="B9" s="29" t="s">
        <v>1832</v>
      </c>
      <c r="C9" s="29">
        <v>6</v>
      </c>
      <c r="D9" s="29">
        <v>8</v>
      </c>
      <c r="E9" s="19">
        <f t="shared" si="1"/>
        <v>14</v>
      </c>
      <c r="F9" s="19">
        <v>12</v>
      </c>
      <c r="G9" s="19">
        <v>8</v>
      </c>
      <c r="H9" s="19">
        <v>5</v>
      </c>
      <c r="I9" s="241">
        <f t="shared" si="0"/>
        <v>13</v>
      </c>
    </row>
    <row r="10" spans="1:9" ht="27" customHeight="1">
      <c r="A10" s="19">
        <v>7</v>
      </c>
      <c r="B10" s="29" t="s">
        <v>1833</v>
      </c>
      <c r="C10" s="29"/>
      <c r="D10" s="29">
        <v>2</v>
      </c>
      <c r="E10" s="19">
        <f t="shared" si="1"/>
        <v>2</v>
      </c>
      <c r="F10" s="19">
        <v>1</v>
      </c>
      <c r="G10" s="19"/>
      <c r="H10" s="19"/>
      <c r="I10" s="241">
        <f t="shared" si="0"/>
        <v>0</v>
      </c>
    </row>
    <row r="11" spans="1:9" ht="21" customHeight="1">
      <c r="A11" s="19">
        <v>8</v>
      </c>
      <c r="B11" s="242" t="s">
        <v>1834</v>
      </c>
      <c r="C11" s="242">
        <v>2</v>
      </c>
      <c r="D11" s="29">
        <v>21</v>
      </c>
      <c r="E11" s="19">
        <f t="shared" si="1"/>
        <v>23</v>
      </c>
      <c r="F11" s="19"/>
      <c r="G11" s="19"/>
      <c r="H11" s="19">
        <v>19</v>
      </c>
      <c r="I11" s="241">
        <f t="shared" si="0"/>
        <v>19</v>
      </c>
    </row>
    <row r="12" spans="1:9" ht="33" customHeight="1">
      <c r="A12" s="19">
        <v>9</v>
      </c>
      <c r="B12" s="29" t="s">
        <v>1835</v>
      </c>
      <c r="C12" s="29"/>
      <c r="D12" s="29">
        <v>5</v>
      </c>
      <c r="E12" s="19">
        <f t="shared" si="1"/>
        <v>5</v>
      </c>
      <c r="F12" s="19">
        <v>1</v>
      </c>
      <c r="G12" s="19">
        <v>1</v>
      </c>
      <c r="H12" s="19"/>
      <c r="I12" s="241">
        <f t="shared" si="0"/>
        <v>1</v>
      </c>
    </row>
    <row r="13" spans="1:9" ht="31.5" customHeight="1">
      <c r="A13" s="19">
        <v>10</v>
      </c>
      <c r="B13" s="29" t="s">
        <v>1836</v>
      </c>
      <c r="C13" s="29"/>
      <c r="D13" s="29">
        <v>2</v>
      </c>
      <c r="E13" s="19">
        <f t="shared" si="1"/>
        <v>2</v>
      </c>
      <c r="F13" s="19">
        <v>1</v>
      </c>
      <c r="G13" s="19">
        <v>1</v>
      </c>
      <c r="H13" s="19"/>
      <c r="I13" s="241">
        <f t="shared" si="0"/>
        <v>1</v>
      </c>
    </row>
    <row r="14" spans="1:9" ht="29.25" customHeight="1">
      <c r="A14" s="19">
        <v>11</v>
      </c>
      <c r="B14" s="29" t="s">
        <v>1837</v>
      </c>
      <c r="C14" s="29">
        <v>5</v>
      </c>
      <c r="D14" s="29">
        <v>27</v>
      </c>
      <c r="E14" s="19">
        <f t="shared" si="1"/>
        <v>32</v>
      </c>
      <c r="F14" s="19">
        <v>28</v>
      </c>
      <c r="G14" s="19">
        <v>20</v>
      </c>
      <c r="H14" s="19">
        <v>9</v>
      </c>
      <c r="I14" s="241">
        <f t="shared" si="0"/>
        <v>29</v>
      </c>
    </row>
    <row r="15" spans="1:9" s="245" customFormat="1" ht="28.5" customHeight="1">
      <c r="A15" s="19">
        <v>12</v>
      </c>
      <c r="B15" s="242" t="s">
        <v>1838</v>
      </c>
      <c r="C15" s="242"/>
      <c r="D15" s="29">
        <v>3</v>
      </c>
      <c r="E15" s="243">
        <f t="shared" si="1"/>
        <v>3</v>
      </c>
      <c r="F15" s="243">
        <v>3</v>
      </c>
      <c r="G15" s="243">
        <v>1</v>
      </c>
      <c r="H15" s="243"/>
      <c r="I15" s="244">
        <f t="shared" si="0"/>
        <v>1</v>
      </c>
    </row>
    <row r="16" spans="1:9" ht="30.75" customHeight="1">
      <c r="A16" s="19">
        <v>13</v>
      </c>
      <c r="B16" s="29" t="s">
        <v>1839</v>
      </c>
      <c r="C16" s="29">
        <v>2</v>
      </c>
      <c r="D16" s="29">
        <v>2</v>
      </c>
      <c r="E16" s="19">
        <f t="shared" si="1"/>
        <v>4</v>
      </c>
      <c r="F16" s="19"/>
      <c r="G16" s="19"/>
      <c r="H16" s="19"/>
      <c r="I16" s="241">
        <f t="shared" si="0"/>
        <v>0</v>
      </c>
    </row>
    <row r="17" spans="1:19" ht="28.5" customHeight="1">
      <c r="A17" s="19">
        <v>14</v>
      </c>
      <c r="B17" s="29" t="s">
        <v>1840</v>
      </c>
      <c r="C17" s="29"/>
      <c r="D17" s="29">
        <v>1</v>
      </c>
      <c r="E17" s="19">
        <f t="shared" si="1"/>
        <v>1</v>
      </c>
      <c r="F17" s="19"/>
      <c r="G17" s="19"/>
      <c r="H17" s="19"/>
      <c r="I17" s="241">
        <f t="shared" si="0"/>
        <v>0</v>
      </c>
    </row>
    <row r="18" spans="1:19" ht="15.75" customHeight="1">
      <c r="A18" s="19">
        <v>15</v>
      </c>
      <c r="B18" s="29" t="s">
        <v>1841</v>
      </c>
      <c r="C18" s="29">
        <v>2</v>
      </c>
      <c r="D18" s="29">
        <v>3</v>
      </c>
      <c r="E18" s="19">
        <f t="shared" si="1"/>
        <v>5</v>
      </c>
      <c r="F18" s="19"/>
      <c r="G18" s="19"/>
      <c r="H18" s="19"/>
      <c r="I18" s="241">
        <f t="shared" si="0"/>
        <v>0</v>
      </c>
    </row>
    <row r="19" spans="1:19" ht="21.75" customHeight="1">
      <c r="A19" s="19">
        <v>16</v>
      </c>
      <c r="B19" s="29" t="s">
        <v>1842</v>
      </c>
      <c r="C19" s="29">
        <v>1</v>
      </c>
      <c r="D19" s="29">
        <v>2</v>
      </c>
      <c r="E19" s="19">
        <f t="shared" si="1"/>
        <v>3</v>
      </c>
      <c r="F19" s="19">
        <v>2</v>
      </c>
      <c r="G19" s="19">
        <v>1</v>
      </c>
      <c r="H19" s="19">
        <v>3</v>
      </c>
      <c r="I19" s="241">
        <f t="shared" si="0"/>
        <v>4</v>
      </c>
      <c r="N19" s="246"/>
      <c r="O19" s="242"/>
      <c r="P19" s="246"/>
      <c r="Q19" s="247"/>
      <c r="R19" s="248"/>
      <c r="S19" s="249"/>
    </row>
    <row r="20" spans="1:19" ht="22.5" customHeight="1">
      <c r="A20" s="19">
        <v>17</v>
      </c>
      <c r="B20" s="250" t="s">
        <v>1843</v>
      </c>
      <c r="C20" s="40">
        <v>3</v>
      </c>
      <c r="D20" s="41">
        <v>5</v>
      </c>
      <c r="E20" s="19">
        <f t="shared" si="1"/>
        <v>8</v>
      </c>
      <c r="F20" s="19"/>
      <c r="G20" s="19"/>
      <c r="H20" s="19"/>
      <c r="I20" s="241">
        <f t="shared" si="0"/>
        <v>0</v>
      </c>
    </row>
    <row r="21" spans="1:19" ht="19.5" customHeight="1">
      <c r="A21" s="19">
        <v>18</v>
      </c>
      <c r="B21" s="250" t="s">
        <v>1844</v>
      </c>
      <c r="C21" s="79"/>
      <c r="D21" s="40">
        <v>1</v>
      </c>
      <c r="E21" s="19">
        <f t="shared" si="1"/>
        <v>1</v>
      </c>
      <c r="F21" s="19">
        <v>1</v>
      </c>
      <c r="G21" s="19"/>
      <c r="H21" s="19">
        <v>4</v>
      </c>
      <c r="I21" s="241">
        <f t="shared" si="0"/>
        <v>4</v>
      </c>
    </row>
    <row r="22" spans="1:19" ht="15" customHeight="1">
      <c r="A22" s="19">
        <v>19</v>
      </c>
      <c r="B22" s="29" t="s">
        <v>1845</v>
      </c>
      <c r="C22" s="29">
        <v>1</v>
      </c>
      <c r="D22" s="29">
        <v>4</v>
      </c>
      <c r="E22" s="19">
        <f t="shared" si="1"/>
        <v>5</v>
      </c>
      <c r="F22" s="19">
        <v>4</v>
      </c>
      <c r="G22" s="19">
        <v>2</v>
      </c>
      <c r="H22" s="19">
        <v>4</v>
      </c>
      <c r="I22" s="241">
        <f t="shared" si="0"/>
        <v>6</v>
      </c>
    </row>
    <row r="23" spans="1:19" ht="35.25" customHeight="1">
      <c r="A23" s="19">
        <v>20</v>
      </c>
      <c r="B23" s="29" t="s">
        <v>1846</v>
      </c>
      <c r="C23" s="29"/>
      <c r="D23" s="29">
        <v>1</v>
      </c>
      <c r="E23" s="19">
        <f>C23+D23</f>
        <v>1</v>
      </c>
      <c r="F23" s="19"/>
      <c r="G23" s="19"/>
      <c r="H23" s="19"/>
      <c r="I23" s="241">
        <f>G23+H23</f>
        <v>0</v>
      </c>
    </row>
    <row r="24" spans="1:19" ht="51" customHeight="1">
      <c r="A24" s="19">
        <v>21</v>
      </c>
      <c r="B24" s="242" t="s">
        <v>1847</v>
      </c>
      <c r="C24" s="90"/>
      <c r="D24" s="29">
        <v>1</v>
      </c>
      <c r="E24" s="91"/>
      <c r="F24" s="91"/>
      <c r="G24" s="91"/>
      <c r="H24" s="91"/>
      <c r="I24" s="91"/>
    </row>
    <row r="25" spans="1:19" ht="15" customHeight="1">
      <c r="A25" s="377" t="s">
        <v>230</v>
      </c>
      <c r="B25" s="377"/>
      <c r="C25" s="19">
        <f>SUM(C4:C24)</f>
        <v>42</v>
      </c>
      <c r="D25" s="19">
        <f t="shared" ref="D25:I25" si="2">SUM(D4:D24)</f>
        <v>201</v>
      </c>
      <c r="E25" s="19">
        <f t="shared" si="2"/>
        <v>242</v>
      </c>
      <c r="F25" s="19">
        <f t="shared" si="2"/>
        <v>103</v>
      </c>
      <c r="G25" s="19">
        <f t="shared" si="2"/>
        <v>63</v>
      </c>
      <c r="H25" s="19">
        <f t="shared" si="2"/>
        <v>77</v>
      </c>
      <c r="I25" s="19">
        <f t="shared" si="2"/>
        <v>140</v>
      </c>
    </row>
    <row r="29" spans="1:19" ht="21.75" customHeight="1">
      <c r="H29" s="251"/>
    </row>
  </sheetData>
  <mergeCells count="2">
    <mergeCell ref="A1:I1"/>
    <mergeCell ref="A25:B25"/>
  </mergeCells>
  <conditionalFormatting sqref="B24">
    <cfRule type="expression" dxfId="5" priority="1">
      <formula>MOD(ROW(),2)=0</formula>
    </cfRule>
  </conditionalFormatting>
  <conditionalFormatting sqref="B22:C23">
    <cfRule type="expression" dxfId="4" priority="4">
      <formula>MOD(ROW(),2)=0</formula>
    </cfRule>
  </conditionalFormatting>
  <conditionalFormatting sqref="B4:D19">
    <cfRule type="expression" dxfId="3" priority="5">
      <formula>MOD(ROW(),2)=0</formula>
    </cfRule>
  </conditionalFormatting>
  <conditionalFormatting sqref="D22:D24">
    <cfRule type="expression" dxfId="2" priority="6">
      <formula>MOD(ROW(),2)=0</formula>
    </cfRule>
  </conditionalFormatting>
  <conditionalFormatting sqref="N19:S19">
    <cfRule type="expression" dxfId="1" priority="2">
      <formula>MOD(ROW(),2)=0</formula>
    </cfRule>
  </conditionalFormatting>
  <conditionalFormatting sqref="S19">
    <cfRule type="duplicateValues" dxfId="0" priority="3"/>
  </conditionalFormatting>
  <pageMargins left="0.39" right="0.17" top="0.75" bottom="0.75" header="0.3" footer="0.3"/>
  <pageSetup paperSize="9" scale="9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All (Office Wise)</vt:lpstr>
      <vt:lpstr>Total Summary</vt:lpstr>
      <vt:lpstr>Summary_Mymenshing</vt:lpstr>
      <vt:lpstr>Summary_Chittagong</vt:lpstr>
      <vt:lpstr>Summary_Comilla</vt:lpstr>
      <vt:lpstr>Summary_Sylhet</vt:lpstr>
      <vt:lpstr>Summary_FAPAD</vt:lpstr>
      <vt:lpstr>Summary_Dhaka</vt:lpstr>
      <vt:lpstr>Summary_Chittagong!Print_Area</vt:lpstr>
      <vt:lpstr>Summary_Sylhet!Print_Area</vt:lpstr>
      <vt:lpstr>'All (Office Wise)'!Print_Titles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Ohidur Rahman</dc:creator>
  <cp:lastModifiedBy>Md. Ohidur Rahman</cp:lastModifiedBy>
  <dcterms:created xsi:type="dcterms:W3CDTF">2026-07-01T08:57:19Z</dcterms:created>
  <dcterms:modified xsi:type="dcterms:W3CDTF">2026-07-02T06:24:24Z</dcterms:modified>
</cp:coreProperties>
</file>